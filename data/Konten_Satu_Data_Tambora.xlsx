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nduan" sheetId="1" state="visible" r:id="rId3"/>
    <sheet name="Pengaturan" sheetId="2" state="visible" r:id="rId4"/>
    <sheet name="Tema" sheetId="3" state="visible" r:id="rId5"/>
    <sheet name="Item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Nama pengaturan. Jangan diubah. Daftar kunci ada di tab Panduan.</t>
        </r>
      </text>
    </comment>
    <comment ref="B1" authorId="0">
      <text>
        <r>
          <rPr>
            <sz val="10"/>
            <rFont val="Arial"/>
            <family val="2"/>
          </rPr>
          <t xml:space="preserve">Isi pengaturan.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Kode tema: huruf kecil tanpa spasi, contoh kawasan. Dipakai di alamat (#/kawasan) dan kolom tema di tab Item. Kode rbm, smart, karhut, dan resor menampilkan angka langsung; jangan diganti.</t>
        </r>
      </text>
    </comment>
    <comment ref="B1" authorId="0">
      <text>
        <r>
          <rPr>
            <sz val="10"/>
            <rFont val="Arial"/>
            <family val="2"/>
          </rPr>
          <t xml:space="preserve">Nama tema pada ubin dan judul besar.</t>
        </r>
      </text>
    </comment>
    <comment ref="C1" authorId="0">
      <text>
        <r>
          <rPr>
            <sz val="10"/>
            <rFont val="Arial"/>
            <family val="2"/>
          </rPr>
          <t xml:space="preserve">Teks kecil di atas judul.</t>
        </r>
      </text>
    </comment>
    <comment ref="D1" authorId="0">
      <text>
        <r>
          <rPr>
            <sz val="10"/>
            <rFont val="Arial"/>
            <family val="2"/>
          </rPr>
          <t xml:space="preserve">Satu atau dua kalimat penjelasan tema.</t>
        </r>
      </text>
    </comment>
    <comment ref="E1" authorId="0">
      <text>
        <r>
          <rPr>
            <sz val="10"/>
            <rFont val="Arial"/>
            <family val="2"/>
          </rPr>
          <t xml:space="preserve">Ikon pada ubin: gunung, pohon, patroli, resor, api, perisai, wisata, aset, peta, grafik, data, dokumen, folder, aplikasi, presentasi.</t>
        </r>
      </text>
    </comment>
    <comment ref="F1" authorId="0">
      <text>
        <r>
          <rPr>
            <sz val="10"/>
            <rFont val="Arial"/>
            <family val="2"/>
          </rPr>
          <t xml:space="preserve">Warna aksen tema, kode hex seperti #6cc4ff.</t>
        </r>
      </text>
    </comment>
    <comment ref="G1" authorId="0">
      <text>
        <r>
          <rPr>
            <sz val="10"/>
            <rFont val="Arial"/>
            <family val="2"/>
          </rPr>
          <t xml:space="preserve">Foto latar: link file gambar Google Drive (dibagikan ke siapa saja yang memiliki link) atau path foto di repo, contoh assets/foto/kawasan.jpg. Kosong = ilustrasi otomatis.</t>
        </r>
      </text>
    </comment>
    <comment ref="H1" authorId="0">
      <text>
        <r>
          <rPr>
            <sz val="10"/>
            <rFont val="Arial"/>
            <family val="2"/>
          </rPr>
          <t xml:space="preserve">Titik fokus foto saat dipotong layar: horizontal lalu vertikal, contoh 50% 45%.</t>
        </r>
      </text>
    </comment>
    <comment ref="I1" authorId="0">
      <text>
        <r>
          <rPr>
            <sz val="10"/>
            <rFont val="Arial"/>
            <family val="2"/>
          </rPr>
          <t xml:space="preserve">Kredit foto, contoh Foto: Dwi Oblo.</t>
        </r>
      </text>
    </comment>
    <comment ref="J1" authorId="0">
      <text>
        <r>
          <rPr>
            <sz val="10"/>
            <rFont val="Arial"/>
            <family val="2"/>
          </rPr>
          <t xml:space="preserve">Poin singkat di bawah judul, dipisah titik koma (;).</t>
        </r>
      </text>
    </comment>
    <comment ref="K1" authorId="0">
      <text>
        <r>
          <rPr>
            <sz val="10"/>
            <rFont val="Arial"/>
            <family val="2"/>
          </rPr>
          <t xml:space="preserve">Tulis tidak untuk menyembunyikan tema.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Kode id dari tab Tema. Kosong = isi hanya muncul di Pustaka.</t>
        </r>
      </text>
    </comment>
    <comment ref="B1" authorId="0">
      <text>
        <r>
          <rPr>
            <sz val="10"/>
            <rFont val="Arial"/>
            <family val="2"/>
          </rPr>
          <t xml:space="preserve">Nama baris kartu di halaman tema, contoh Dokumen kawasan. Isi dengan kelompok yang sama tampil dalam satu baris.</t>
        </r>
      </text>
    </comment>
    <comment ref="C1" authorId="0">
      <text>
        <r>
          <rPr>
            <sz val="10"/>
            <rFont val="Arial"/>
            <family val="2"/>
          </rPr>
          <t xml:space="preserve">Judul kartu.</t>
        </r>
      </text>
    </comment>
    <comment ref="D1" authorId="0">
      <text>
        <r>
          <rPr>
            <sz val="10"/>
            <rFont val="Arial"/>
            <family val="2"/>
          </rPr>
          <t xml:space="preserve">Pilih: aplikasi, peta, grafik, presentasi, data, dokumen, folder, tautan. Kosong = ditebak dari link. tautan selalu dibuka di tab baru.</t>
        </r>
      </text>
    </comment>
    <comment ref="E1" authorId="0">
      <text>
        <r>
          <rPr>
            <sz val="10"/>
            <rFont val="Arial"/>
            <family val="2"/>
          </rPr>
          <t xml:space="preserve">Link lengkap, diawali https://</t>
        </r>
      </text>
    </comment>
    <comment ref="F1" authorId="0">
      <text>
        <r>
          <rPr>
            <sz val="10"/>
            <rFont val="Arial"/>
            <family val="2"/>
          </rPr>
          <t xml:space="preserve">Satu kalimat pendek di bawah judul kartu.</t>
        </r>
      </text>
    </comment>
    <comment ref="G1" authorId="0">
      <text>
        <r>
          <rPr>
            <sz val="10"/>
            <rFont val="Arial"/>
            <family val="2"/>
          </rPr>
          <t xml:space="preserve">Gambar kartu (opsional): link gambar Google Drive atau path di repo. Kosong = ilustrasi otomatis.</t>
        </r>
      </text>
    </comment>
    <comment ref="H1" authorId="0">
      <text>
        <r>
          <rPr>
            <sz val="10"/>
            <rFont val="Arial"/>
            <family val="2"/>
          </rPr>
          <t xml:space="preserve">Repo GitHub aplikasinya, contoh kopluck8/RBM_TNGunungTambora. Muncul sebagai Lihat kode di GitHub.</t>
        </r>
      </text>
    </comment>
    <comment ref="I1" authorId="0">
      <text>
        <r>
          <rPr>
            <sz val="10"/>
            <rFont val="Arial"/>
            <family val="2"/>
          </rPr>
          <t xml:space="preserve">ya = dibuka oleh tombol Buka di sorotan tema. Cukup satu per tema.</t>
        </r>
      </text>
    </comment>
    <comment ref="J1" authorId="0">
      <text>
        <r>
          <rPr>
            <sz val="10"/>
            <rFont val="Arial"/>
            <family val="2"/>
          </rPr>
          <t xml:space="preserve">Tulis tidak untuk menyembunyikan isi.</t>
        </r>
      </text>
    </comment>
  </commentList>
</comments>
</file>

<file path=xl/sharedStrings.xml><?xml version="1.0" encoding="utf-8"?>
<sst xmlns="http://schemas.openxmlformats.org/spreadsheetml/2006/main" count="658" uniqueCount="382">
  <si>
    <t xml:space="preserve">Panduan isi Satu Data Tambora</t>
  </si>
  <si>
    <t xml:space="preserve">Dashboard membaca tab Pengaturan, Tema, dan Item dari spreadsheet ini setiap kali dibuka. Ubah isinya di sini lalu muat ulang dashboard; kode tidak perlu diubah. Tab Panduan ini tidak dibaca dashboard.</t>
  </si>
  <si>
    <t xml:space="preserve">Yang boleh diubah</t>
  </si>
  <si>
    <t xml:space="preserve">Bagian</t>
  </si>
  <si>
    <t xml:space="preserve">Keterangan</t>
  </si>
  <si>
    <t xml:space="preserve">Baris 2 ke bawah</t>
  </si>
  <si>
    <t xml:space="preserve">Semua sel di bawah baris judul kolom pada tab Pengaturan, Tema, dan Item. Tambah baris baru di bawah baris terakhir.</t>
  </si>
  <si>
    <t xml:space="preserve">Baris 1</t>
  </si>
  <si>
    <t xml:space="preserve">Judul kolom. Jangan ganti namanya, dan jangan ganti nama tab, karena dashboard mencarinya dengan nama itu.</t>
  </si>
  <si>
    <t xml:space="preserve">Kolom oranye</t>
  </si>
  <si>
    <t xml:space="preserve">Wajib diisi. Kolom abu-abu gelap boleh kosong.</t>
  </si>
  <si>
    <t xml:space="preserve">Catatan kolom</t>
  </si>
  <si>
    <t xml:space="preserve">Arahkan kursor ke judul kolom untuk melihat penjelasan singkatnya.</t>
  </si>
  <si>
    <t xml:space="preserve">Pekerjaan yang sering dilakukan</t>
  </si>
  <si>
    <t xml:space="preserve">Ingin</t>
  </si>
  <si>
    <t xml:space="preserve">Caranya</t>
  </si>
  <si>
    <t xml:space="preserve">Menambah isi</t>
  </si>
  <si>
    <t xml:space="preserve">Tab Item: tambah baris, isi tema (pilih dari daftar), judul, dan url. Kolom lain boleh kosong.</t>
  </si>
  <si>
    <t xml:space="preserve">Menyembunyikan</t>
  </si>
  <si>
    <t xml:space="preserve">Tulis tidak di kolom tampil. Baris tidak perlu dihapus.</t>
  </si>
  <si>
    <t xml:space="preserve">Mengganti isi utama</t>
  </si>
  <si>
    <t xml:space="preserve">Di tab Item, pindahkan ya pada kolom utama ke isi lain dalam tema yang sama.</t>
  </si>
  <si>
    <t xml:space="preserve">Menambah tema</t>
  </si>
  <si>
    <t xml:space="preserve">Tab Tema: tambah baris dengan id singkat tanpa spasi (contoh penyuluhan) dan judul. Lalu pakai id itu di kolom tema tab Item.</t>
  </si>
  <si>
    <t xml:space="preserve">Mengganti foto tema</t>
  </si>
  <si>
    <t xml:space="preserve">Kolom gambar di tab Tema: tempel link file gambar Google Drive yang dibagikan ke siapa saja yang memiliki link. Atur kolom fokus bila potongan foto kurang pas.</t>
  </si>
  <si>
    <t xml:space="preserve">Jenis isi (kolom jenis di tab Item)</t>
  </si>
  <si>
    <t xml:space="preserve">jenis</t>
  </si>
  <si>
    <t xml:space="preserve">Untuk</t>
  </si>
  <si>
    <t xml:space="preserve">Dibuka</t>
  </si>
  <si>
    <t xml:space="preserve">aplikasi</t>
  </si>
  <si>
    <t xml:space="preserve">Aplikasi web, misalnya dashboard di GitHub Pages</t>
  </si>
  <si>
    <t xml:space="preserve">di dalam dashboard</t>
  </si>
  <si>
    <t xml:space="preserve">peta</t>
  </si>
  <si>
    <t xml:space="preserve">Google My Maps atau WebGIS</t>
  </si>
  <si>
    <t xml:space="preserve">grafik</t>
  </si>
  <si>
    <t xml:space="preserve">Grafik terbitan Google Sheets (Publikasikan ke web)</t>
  </si>
  <si>
    <t xml:space="preserve">presentasi</t>
  </si>
  <si>
    <t xml:space="preserve">Google Slides</t>
  </si>
  <si>
    <t xml:space="preserve">data</t>
  </si>
  <si>
    <t xml:space="preserve">Google Sheets atau tabel</t>
  </si>
  <si>
    <t xml:space="preserve">di dalam dashboard (pratinjau)</t>
  </si>
  <si>
    <t xml:space="preserve">dokumen</t>
  </si>
  <si>
    <t xml:space="preserve">PDF atau Google Docs di Drive</t>
  </si>
  <si>
    <t xml:space="preserve">folder</t>
  </si>
  <si>
    <t xml:space="preserve">Folder Google Drive</t>
  </si>
  <si>
    <t xml:space="preserve">tautan</t>
  </si>
  <si>
    <t xml:space="preserve">Situs lain</t>
  </si>
  <si>
    <t xml:space="preserve">di tab baru</t>
  </si>
  <si>
    <t xml:space="preserve">Link github.com selalu dibuka di tab baru. File Google yang tidak dibagikan ke publik hanya tampil bagi akun yang punya akses; tombol Buka di tab baru selalu tersedia.</t>
  </si>
  <si>
    <t xml:space="preserve">Kunci di tab Pengaturan</t>
  </si>
  <si>
    <t xml:space="preserve">kunci</t>
  </si>
  <si>
    <t xml:space="preserve">Isinya</t>
  </si>
  <si>
    <t xml:space="preserve">Tampil di</t>
  </si>
  <si>
    <t xml:space="preserve">judul</t>
  </si>
  <si>
    <t xml:space="preserve">Nama dashboard</t>
  </si>
  <si>
    <t xml:space="preserve">judul beranda dan tab browser</t>
  </si>
  <si>
    <t xml:space="preserve">subjudul</t>
  </si>
  <si>
    <t xml:space="preserve">Nama instansi</t>
  </si>
  <si>
    <t xml:space="preserve">di atas judul beranda dan di kaki halaman</t>
  </si>
  <si>
    <t xml:space="preserve">sambutan</t>
  </si>
  <si>
    <t xml:space="preserve">Satu kalimat pembuka</t>
  </si>
  <si>
    <t xml:space="preserve">beranda</t>
  </si>
  <si>
    <t xml:space="preserve">pengelola</t>
  </si>
  <si>
    <t xml:space="preserve">Pengelola dashboard</t>
  </si>
  <si>
    <t xml:space="preserve">kaki halaman</t>
  </si>
  <si>
    <t xml:space="preserve">github</t>
  </si>
  <si>
    <t xml:space="preserve">Repo kode dashboard (pemilik/nama-repo)</t>
  </si>
  <si>
    <t xml:space="preserve">tautan Kode di GitHub</t>
  </si>
  <si>
    <t xml:space="preserve">gambar_beranda</t>
  </si>
  <si>
    <t xml:space="preserve">Kosong = panorama Tambora bawaan, atau link gambar</t>
  </si>
  <si>
    <t xml:space="preserve">latar beranda</t>
  </si>
  <si>
    <t xml:space="preserve">Angka langsung</t>
  </si>
  <si>
    <t xml:space="preserve">Tema dengan id rbm, smart, karhut, dan resor menampilkan angka terkini dari Dashboard Capaian RBM, Dashboard SMART Patrol, Simulasi API Tambora, dan analisis Resor Pengelolaan. Jangan ganti keempat id itu; judul, foto, dan isinya boleh diubah.</t>
  </si>
  <si>
    <t xml:space="preserve">Ringkasan (dihitung otomatis)</t>
  </si>
  <si>
    <t xml:space="preserve">id</t>
  </si>
  <si>
    <t xml:space="preserve">Tema</t>
  </si>
  <si>
    <t xml:space="preserve">Isi yang tampil</t>
  </si>
  <si>
    <t xml:space="preserve">Jumlah</t>
  </si>
  <si>
    <t xml:space="preserve">Semua isi yang tampil, termasuk yang tanpa tema</t>
  </si>
  <si>
    <t xml:space="preserve">Spreadsheet ini dibuat dari salinan cadangan di repo (data/konten). Setelah disambungkan, yang dibaca dashboard adalah versi Google Sheets ini.</t>
  </si>
  <si>
    <t xml:space="preserve">nilai</t>
  </si>
  <si>
    <t xml:space="preserve">Satu Data Tambora</t>
  </si>
  <si>
    <t xml:space="preserve">Balai Taman Nasional Tambora</t>
  </si>
  <si>
    <t xml:space="preserve">Data kawasan, patroli, resor, kebakaran hutan, perlindungan, dan wisata Taman Nasional Tambora dalam satu layar.</t>
  </si>
  <si>
    <t xml:space="preserve">Dikelola oleh Pokja Urusan Advokasi Hukum, Bahan Pemanfaatan, Pelayanan, Perlindungan, Pengamanan dan Pengawetan Balai Taman Nasional Tambora Tahun 2026</t>
  </si>
  <si>
    <t xml:space="preserve">kopluck8/Satu-Data-Tambora</t>
  </si>
  <si>
    <t xml:space="preserve">label</t>
  </si>
  <si>
    <t xml:space="preserve">ringkas</t>
  </si>
  <si>
    <t xml:space="preserve">ikon</t>
  </si>
  <si>
    <t xml:space="preserve">warna</t>
  </si>
  <si>
    <t xml:space="preserve">gambar</t>
  </si>
  <si>
    <t xml:space="preserve">fokus</t>
  </si>
  <si>
    <t xml:space="preserve">kredit</t>
  </si>
  <si>
    <t xml:space="preserve">sorotan</t>
  </si>
  <si>
    <t xml:space="preserve">tampil</t>
  </si>
  <si>
    <t xml:space="preserve">kawasan</t>
  </si>
  <si>
    <t xml:space="preserve">Profil Kawasan</t>
  </si>
  <si>
    <t xml:space="preserve">Taman Nasional Tambora</t>
  </si>
  <si>
    <t xml:space="preserve">Data dasar kawasan: dokumen kawasan, kondisi fisik dan geomorfologi, keanekaragaman hayati, aksesibilitas, dan desa binaan.</t>
  </si>
  <si>
    <t xml:space="preserve">gunung</t>
  </si>
  <si>
    <t xml:space="preserve">#6cc4ff</t>
  </si>
  <si>
    <t xml:space="preserve">assets/foto/kawasan.jpg</t>
  </si>
  <si>
    <t xml:space="preserve">50% 45%</t>
  </si>
  <si>
    <t xml:space="preserve">Letusan 1815; Salah satu kaldera terdalam di dunia; Satwa kunci Elang Flores dan Rusa Timor</t>
  </si>
  <si>
    <t xml:space="preserve">ya</t>
  </si>
  <si>
    <t xml:space="preserve">resor</t>
  </si>
  <si>
    <t xml:space="preserve">Resor Pengelolaan</t>
  </si>
  <si>
    <t xml:space="preserve">Tujuh resor hasil kajian 2026</t>
  </si>
  <si>
    <t xml:space="preserve">Profil potensi dan ancaman setiap resor pengelolaan: batas resor 2026, penilaian ancaman Miradi, temuan SMART Patrol, beban kerja, dan kebutuhan personel.</t>
  </si>
  <si>
    <t xml:space="preserve">pohon</t>
  </si>
  <si>
    <t xml:space="preserve">#52c97c</t>
  </si>
  <si>
    <t xml:space="preserve">7 resor di 2 SPTN; Resor baru Doro Tabe; Potensi dan ancaman tiap resor</t>
  </si>
  <si>
    <t xml:space="preserve">smart</t>
  </si>
  <si>
    <t xml:space="preserve">SMART Patrol</t>
  </si>
  <si>
    <t xml:space="preserve">Spatial Monitoring and Reporting Tool</t>
  </si>
  <si>
    <t xml:space="preserve">Temuan patroli dari seluruh resor: statistik, grafik per kategori, peta sebaran, pembuat laporan patroli, dan data patroli drone.</t>
  </si>
  <si>
    <t xml:space="preserve">patroli</t>
  </si>
  <si>
    <t xml:space="preserve">#a5d66f</t>
  </si>
  <si>
    <t xml:space="preserve">assets/foto/smart.jpg</t>
  </si>
  <si>
    <t xml:space="preserve">56% 45%</t>
  </si>
  <si>
    <t xml:space="preserve">Foto: Dok. TN Tambora</t>
  </si>
  <si>
    <t xml:space="preserve">9 kategori temuan; Rekap per SPTN dan resor; LPK dan RPK otomatis</t>
  </si>
  <si>
    <t xml:space="preserve">rbm</t>
  </si>
  <si>
    <t xml:space="preserve">Resort Based Management</t>
  </si>
  <si>
    <t xml:space="preserve">Pengelolaan berbasis resor</t>
  </si>
  <si>
    <t xml:space="preserve">Laporan kegiatan resor dan capaiannya terhadap rencana 2026, dihitung langsung dari laporan yang sudah diverifikasi.</t>
  </si>
  <si>
    <t xml:space="preserve">#ffcf6e</t>
  </si>
  <si>
    <t xml:space="preserve">assets/foto/rbm.jpg</t>
  </si>
  <si>
    <t xml:space="preserve">50% 60%</t>
  </si>
  <si>
    <t xml:space="preserve">Foto: SPTN Wilayah II</t>
  </si>
  <si>
    <t xml:space="preserve">6 resor di 2 SPTN; 100 kegiatan dalam rencana 2026; Lapor tanpa akun</t>
  </si>
  <si>
    <t xml:space="preserve">karhut</t>
  </si>
  <si>
    <t xml:space="preserve">Kebakaran Hutan</t>
  </si>
  <si>
    <t xml:space="preserve">Pengendalian kebakaran hutan</t>
  </si>
  <si>
    <t xml:space="preserve">Hotspot harian, delineasi areal terbakar tiap 5 hari, peta kerawanan, rekap kejadian, dan pemodelan rambatan api.</t>
  </si>
  <si>
    <t xml:space="preserve">api</t>
  </si>
  <si>
    <t xml:space="preserve">#ff8a4c</t>
  </si>
  <si>
    <t xml:space="preserve">assets/foto/karhut.jpg</t>
  </si>
  <si>
    <t xml:space="preserve">62% 50%</t>
  </si>
  <si>
    <t xml:space="preserve">Hotspot MODIS dan VIIRS; Delineasi areal terbakar tiap 5 hari; Simulasi rambatan api</t>
  </si>
  <si>
    <t xml:space="preserve">polhut</t>
  </si>
  <si>
    <t xml:space="preserve">Perlindungan Kawasan</t>
  </si>
  <si>
    <t xml:space="preserve">Polisi Kehutanan</t>
  </si>
  <si>
    <t xml:space="preserve">Laporan kejadian, database Polisi Kehutanan, dan sebaran gangguan kawasan sejak 2020.</t>
  </si>
  <si>
    <t xml:space="preserve">perisai</t>
  </si>
  <si>
    <t xml:space="preserve">#d2bc84</t>
  </si>
  <si>
    <t xml:space="preserve">assets/foto/polhut.jpg</t>
  </si>
  <si>
    <t xml:space="preserve">58% 50%</t>
  </si>
  <si>
    <t xml:space="preserve">Rekap laporan kejadian 2026; Database Polhut; Sebaran gangguan 2020–2026</t>
  </si>
  <si>
    <t xml:space="preserve">wisata</t>
  </si>
  <si>
    <t xml:space="preserve">Wisata &amp; Pelayanan</t>
  </si>
  <si>
    <t xml:space="preserve">Wisata alam dan pendakian</t>
  </si>
  <si>
    <t xml:space="preserve">Kunjungan wisata dan pendakian: pengunjung nusantara dan mancanegara, asal pendaki, Oi Marai, dan Sanctuary Rusa Timor.</t>
  </si>
  <si>
    <t xml:space="preserve">#4fd6c7</t>
  </si>
  <si>
    <t xml:space="preserve">assets/foto/wisata.jpg</t>
  </si>
  <si>
    <t xml:space="preserve">72% 50%</t>
  </si>
  <si>
    <t xml:space="preserve">Foto: Dwi Oblo</t>
  </si>
  <si>
    <t xml:space="preserve">Pendakian Gunung Tambora; Oi Marai; Sanctuary Rusa Timor</t>
  </si>
  <si>
    <t xml:space="preserve">bmn</t>
  </si>
  <si>
    <t xml:space="preserve">Aset BMN</t>
  </si>
  <si>
    <t xml:space="preserve">Barang Milik Negara</t>
  </si>
  <si>
    <t xml:space="preserve">Baca file Daftar Aset BMN langsung di browser untuk ringkasan, temuan yang perlu ditindaklanjuti, dan unduhan CSV.</t>
  </si>
  <si>
    <t xml:space="preserve">aset</t>
  </si>
  <si>
    <t xml:space="preserve">#a99bff</t>
  </si>
  <si>
    <t xml:space="preserve">File dibaca di browser, tidak diunggah; Kandidat penghapusan; Kendaraan dan umur aset</t>
  </si>
  <si>
    <t xml:space="preserve">tema</t>
  </si>
  <si>
    <t xml:space="preserve">kelompok</t>
  </si>
  <si>
    <t xml:space="preserve">url</t>
  </si>
  <si>
    <t xml:space="preserve">keterangan</t>
  </si>
  <si>
    <t xml:space="preserve">repo</t>
  </si>
  <si>
    <t xml:space="preserve">utama</t>
  </si>
  <si>
    <t xml:space="preserve">Dokumen kawasan</t>
  </si>
  <si>
    <t xml:space="preserve">Pustaka Data Dasar Kawasan</t>
  </si>
  <si>
    <t xml:space="preserve">https://drive.google.com/drive/folders/1ZmpztD8BdgLzmGVOKWTois-_74JTYmE8</t>
  </si>
  <si>
    <t xml:space="preserve">Folder Google Drive berisi dokumen dan data dasar kawasan.</t>
  </si>
  <si>
    <t xml:space="preserve">SK Dirjen KSDAE Nomor 138 Tahun 2025</t>
  </si>
  <si>
    <t xml:space="preserve">https://drive.google.com/file/d/1ZlCfyWf7CsY2PKB4PnQwUDqA5Q--oii5/view</t>
  </si>
  <si>
    <t xml:space="preserve">Salinan surat keputusan di Google Drive.</t>
  </si>
  <si>
    <t xml:space="preserve">Sejarah Kawasan</t>
  </si>
  <si>
    <t xml:space="preserve">https://docs.google.com/presentation/d/1dMAojMH3mYI1xGQ7XJYUghzzV1H9KzbWDHc9oKnlSt0/present</t>
  </si>
  <si>
    <t xml:space="preserve">Presentasi sejarah kawasan Tambora.</t>
  </si>
  <si>
    <t xml:space="preserve">Fisik dan geomorfologi</t>
  </si>
  <si>
    <t xml:space="preserve">Kondisi Fisik Kawasan</t>
  </si>
  <si>
    <t xml:space="preserve">https://docs.google.com/presentation/d/1cbdvAvSIiXViCcLJTarK0AdAgw2oeux728IyLzdX2X8/present</t>
  </si>
  <si>
    <t xml:space="preserve">Kondisi fisik kawasan yang terus berubah sejak letusan 1815.</t>
  </si>
  <si>
    <t xml:space="preserve">Geogenesis Gunung Tambora</t>
  </si>
  <si>
    <t xml:space="preserve">https://docs.google.com/presentation/d/1cQkQEU9sCjMPtNgu82hV_oAa1HhQlkhv47-YsVZsIPs/present</t>
  </si>
  <si>
    <t xml:space="preserve">Asal-usul dan pembentukan Gunung Tambora.</t>
  </si>
  <si>
    <t xml:space="preserve">Geomorfologi Kawasan</t>
  </si>
  <si>
    <t xml:space="preserve">https://docs.google.com/presentation/d/1doeg08LdjkoSmUTRhUdggSgSo6014w6jRe9E0OfP1fo/present</t>
  </si>
  <si>
    <t xml:space="preserve">Bentuk lahan kawasan Tambora.</t>
  </si>
  <si>
    <t xml:space="preserve">Keanekaragaman hayati</t>
  </si>
  <si>
    <t xml:space="preserve">Daftar Jenis Terverifikasi</t>
  </si>
  <si>
    <t xml:space="preserve">https://docs.google.com/spreadsheets/d/1g31M2KhRn0MeJ6skbQ69bUQue6qqqF7BPDfwI7LOuKM/edit</t>
  </si>
  <si>
    <t xml:space="preserve">Rincian daftar jenis yang sudah diverifikasi.</t>
  </si>
  <si>
    <t xml:space="preserve">assets/foto/lebah.jpg</t>
  </si>
  <si>
    <t xml:space="preserve">Sebaran per Jenis</t>
  </si>
  <si>
    <t xml:space="preserve">https://docs.google.com/spreadsheets/d/1zF6lLubW2I2HJbHNxqhksAO-3EsmSumNAy6gPJCJn5Y/edit</t>
  </si>
  <si>
    <t xml:space="preserve">Rincian data sebaran setiap jenis.</t>
  </si>
  <si>
    <t xml:space="preserve">Distribusi Habitat Satwa Liar</t>
  </si>
  <si>
    <t xml:space="preserve">https://docs.google.com/presentation/d/1e_tEflWde51eCdi9MQPxABDquUlvfnxlGYS4LwfgTJk/present</t>
  </si>
  <si>
    <t xml:space="preserve">Sebaran habitat satwa liar di kawasan.</t>
  </si>
  <si>
    <t xml:space="preserve">Distribusi Tumbuhan</t>
  </si>
  <si>
    <t xml:space="preserve">https://docs.google.com/presentation/d/1QW7CkPYxAhe1WH8MABLuK4KsAoe-3AgxQiWERzl4dE0/present</t>
  </si>
  <si>
    <t xml:space="preserve">Sebaran jenis tumbuhan di kawasan.</t>
  </si>
  <si>
    <t xml:space="preserve">Akses dan desa</t>
  </si>
  <si>
    <t xml:space="preserve">Aksesibilitas ke Dalam Kawasan</t>
  </si>
  <si>
    <t xml:space="preserve">https://www.google.com/maps/d/embed?mid=1TzuDicUDgnkB1cy1VjPuoYjQxUvj4rA</t>
  </si>
  <si>
    <t xml:space="preserve">Peta jalur dan akses masuk kawasan.</t>
  </si>
  <si>
    <t xml:space="preserve">Desa Binaan</t>
  </si>
  <si>
    <t xml:space="preserve">https://www.google.com/maps/d/embed?mid=1QpvKZnaRnsVIzZ3g_YUobbG9jCkICPg</t>
  </si>
  <si>
    <t xml:space="preserve">Peta desa binaan di sekitar kawasan.</t>
  </si>
  <si>
    <t xml:space="preserve">Ikhtisar</t>
  </si>
  <si>
    <t xml:space="preserve">Profil Tujuh Resor Pengelolaan</t>
  </si>
  <si>
    <t xml:space="preserve">resor/index.html#/</t>
  </si>
  <si>
    <t xml:space="preserve">Peta batas resor 2026, peringkat ancaman dan potensi tiap resor, beban kerja, dan perubahan batas dari 6 menjadi 7 resor.</t>
  </si>
  <si>
    <t xml:space="preserve">Metode Penilaian Potensi dan Ancaman</t>
  </si>
  <si>
    <t xml:space="preserve">resor/index.html#/metode</t>
  </si>
  <si>
    <t xml:space="preserve">Penilaian ancaman Miradi (Conservation Standards), laju temuan SMART per 10 hari patroli, dan tiga fungsi kawasan konservasi.</t>
  </si>
  <si>
    <t xml:space="preserve">SPTN Wilayah I Kore</t>
  </si>
  <si>
    <t xml:space="preserve">Resor Piong</t>
  </si>
  <si>
    <t xml:space="preserve">resor/index.html#/piong</t>
  </si>
  <si>
    <t xml:space="preserve">Savana, pendakian berkendara, dan habitat Rusa timor. Desa binaan Piong dan Oi Saro.</t>
  </si>
  <si>
    <t xml:space="preserve">Resor Oi Katupa</t>
  </si>
  <si>
    <t xml:space="preserve">resor/index.html#/oi-katupa</t>
  </si>
  <si>
    <t xml:space="preserve">Habitat Elang flores dan Rusa timor, madu hutan, dan sumber air. Desa binaan Oi Katupa, Kawinda Toi, dan Piong.</t>
  </si>
  <si>
    <t xml:space="preserve">Resor Kawinda Toi</t>
  </si>
  <si>
    <t xml:space="preserve">resor/index.html#/kawinda-toi</t>
  </si>
  <si>
    <t xml:space="preserve">Wisata pendakian dan Air Terjun Oi Marai, madu hutan, dan sumber air. Desa binaan Kawinda Toi dan Kawinda Nae.</t>
  </si>
  <si>
    <t xml:space="preserve">SPTN Wilayah II Pekat</t>
  </si>
  <si>
    <t xml:space="preserve">Resor Doro Tabe (baru)</t>
  </si>
  <si>
    <t xml:space="preserve">resor/index.html#/doro-tabe</t>
  </si>
  <si>
    <t xml:space="preserve">Resor baru 2026 dari pemekaran Doroncanga: savana dan fitur geologi. Desa binaan Tolokalo dan Soritatanga.</t>
  </si>
  <si>
    <t xml:space="preserve">Resor Doroncanga</t>
  </si>
  <si>
    <t xml:space="preserve">resor/index.html#/doroncanga</t>
  </si>
  <si>
    <t xml:space="preserve">Sanctuary Rusa Timor, savana, dan jalur pendakian berkendara. Desa binaan Soritatanga.</t>
  </si>
  <si>
    <t xml:space="preserve">Resor Doropeti</t>
  </si>
  <si>
    <t xml:space="preserve">resor/index.html#/doropeti</t>
  </si>
  <si>
    <t xml:space="preserve">Areal bernilai konservasi tinggi, habitat Elang flores, dan sumber air. Desa binaan Doropeti dan Soritatanga.</t>
  </si>
  <si>
    <t xml:space="preserve">Resor Pancasila</t>
  </si>
  <si>
    <t xml:space="preserve">resor/index.html#/pancasila</t>
  </si>
  <si>
    <t xml:space="preserve">Jalur pendakian ke puncak Tambora dan habitat Rusa timor. Desa binaan Tambora dan Kawinda Nae.</t>
  </si>
  <si>
    <t xml:space="preserve">Aplikasi</t>
  </si>
  <si>
    <t xml:space="preserve">Dashboard Data SMART Patrol</t>
  </si>
  <si>
    <t xml:space="preserve">https://kopluck8.github.io/Dashboard_SMART_TNGunungTambora/</t>
  </si>
  <si>
    <t xml:space="preserve">Statistik, grafik, peta, dan tabel temuan patroli per kategori, SPTN, dan resor.</t>
  </si>
  <si>
    <t xml:space="preserve">kopluck8/Dashboard_SMART_TNGunungTambora</t>
  </si>
  <si>
    <t xml:space="preserve">Generator LPK &amp; RPK</t>
  </si>
  <si>
    <t xml:space="preserve">https://kopluck8.github.io/SMART_Report_generator/</t>
  </si>
  <si>
    <t xml:space="preserve">Mengubah ekspor SMART Desktop menjadi Laporan Pelaksanaan Kegiatan dan menyusun Rencana Pelaksanaan Kegiatan.</t>
  </si>
  <si>
    <t xml:space="preserve">kopluck8/SMART_Report_generator</t>
  </si>
  <si>
    <t xml:space="preserve">Flight SMART</t>
  </si>
  <si>
    <t xml:space="preserve">https://kopluck8.github.io/Flight_SMART/</t>
  </si>
  <si>
    <t xml:space="preserve">Arsip log terbang drone DJI (jalur GPX, KML, peta) dan pengisian data SMART untuk foto drone.</t>
  </si>
  <si>
    <t xml:space="preserve">kopluck8/Flight_SMART</t>
  </si>
  <si>
    <t xml:space="preserve">Rekap per kategori</t>
  </si>
  <si>
    <t xml:space="preserve">Aktivitas Manusia</t>
  </si>
  <si>
    <t xml:space="preserve">https://kopluck8.github.io/Dashboard_SMART_TNGunungTambora/aktivitas-manusia.html?embed=1</t>
  </si>
  <si>
    <t xml:space="preserve">Temuan aktivitas manusia: komposisi, tren bulanan, peta, dan rincian.</t>
  </si>
  <si>
    <t xml:space="preserve">Satwa Liar</t>
  </si>
  <si>
    <t xml:space="preserve">https://kopluck8.github.io/Dashboard_SMART_TNGunungTambora/satwa-liar.html?embed=1</t>
  </si>
  <si>
    <t xml:space="preserve">Daftar jenis satwa, tren bulanan, dan peta sebaran temuan.</t>
  </si>
  <si>
    <t xml:space="preserve">Tumbuhan</t>
  </si>
  <si>
    <t xml:space="preserve">https://kopluck8.github.io/Dashboard_SMART_TNGunungTambora/tumbuhan.html?embed=1</t>
  </si>
  <si>
    <t xml:space="preserve">Daftar jenis tumbuhan, tren bulanan, dan peta sebaran temuan.</t>
  </si>
  <si>
    <t xml:space="preserve">Spesies Invasif</t>
  </si>
  <si>
    <t xml:space="preserve">https://kopluck8.github.io/Dashboard_SMART_TNGunungTambora/spesies-invasif.html?embed=1</t>
  </si>
  <si>
    <t xml:space="preserve">Temuan spesies invasif: komposisi, tren bulanan, dan peta.</t>
  </si>
  <si>
    <t xml:space="preserve">Fitur</t>
  </si>
  <si>
    <t xml:space="preserve">https://kopluck8.github.io/Dashboard_SMART_TNGunungTambora/fitur.html?embed=1</t>
  </si>
  <si>
    <t xml:space="preserve">Temuan fitur kawasan: komposisi, tren bulanan, dan peta.</t>
  </si>
  <si>
    <t xml:space="preserve">Ground Check</t>
  </si>
  <si>
    <t xml:space="preserve">https://kopluck8.github.io/Dashboard_SMART_TNGunungTambora/ground-check.html?embed=1</t>
  </si>
  <si>
    <t xml:space="preserve">Ground check tipe ekosistem dan tutupan lahan.</t>
  </si>
  <si>
    <t xml:space="preserve">Pengelolaan</t>
  </si>
  <si>
    <t xml:space="preserve">https://kopluck8.github.io/Dashboard_SMART_TNGunungTambora/pengelolaan.html?embed=1</t>
  </si>
  <si>
    <t xml:space="preserve">Temuan kegiatan pengelolaan: komposisi, tren bulanan, dan peta.</t>
  </si>
  <si>
    <t xml:space="preserve">Penyuluhan dan Pemberdayaan Masyarakat</t>
  </si>
  <si>
    <t xml:space="preserve">https://kopluck8.github.io/Dashboard_SMART_TNGunungTambora/penyuluhan.html?embed=1</t>
  </si>
  <si>
    <t xml:space="preserve">Kegiatan penyuluhan dan pemberdayaan masyarakat.</t>
  </si>
  <si>
    <t xml:space="preserve">Jalur Pendakian dan ODTWA</t>
  </si>
  <si>
    <t xml:space="preserve">https://kopluck8.github.io/Dashboard_SMART_TNGunungTambora/jalur-pendakian.html?embed=1</t>
  </si>
  <si>
    <t xml:space="preserve">Penjagaan jalur pendakian dan objek daya tarik wisata alam.</t>
  </si>
  <si>
    <t xml:space="preserve">Peta dan rekap</t>
  </si>
  <si>
    <t xml:space="preserve">Peta Temuan SMART Patrol</t>
  </si>
  <si>
    <t xml:space="preserve">https://www.google.com/maps/d/embed?mid=1zzggN4lmKULtMFTWs6ofxUdfCKZDaFg</t>
  </si>
  <si>
    <t xml:space="preserve">Peta Google My Maps berisi titik temuan patroli.</t>
  </si>
  <si>
    <t xml:space="preserve">Rekap SMART 2026</t>
  </si>
  <si>
    <t xml:space="preserve">https://drive.google.com/open?id=1VfP1gZb7Ah9Lt0iNAjVvUGbjVN19aZ2b-7XXfjnUNK8</t>
  </si>
  <si>
    <t xml:space="preserve">Tabulasi data SMART Patrol tahun 2026.</t>
  </si>
  <si>
    <t xml:space="preserve">Dashboard Capaian RBM 2026</t>
  </si>
  <si>
    <t xml:space="preserve">https://kopluck8.github.io/RBM_TNGunungTambora/dashboard/</t>
  </si>
  <si>
    <t xml:space="preserve">Capaian terverifikasi setiap resor dibandingkan rencana awal tahun.</t>
  </si>
  <si>
    <t xml:space="preserve">kopluck8/RBM_TNGunungTambora</t>
  </si>
  <si>
    <t xml:space="preserve">Form Laporan Kegiatan</t>
  </si>
  <si>
    <t xml:space="preserve">https://kopluck8.github.io/RBM_TNGunungTambora/form/</t>
  </si>
  <si>
    <t xml:space="preserve">Petugas resor melaporkan kegiatan lewat form web tanpa perlu akun.</t>
  </si>
  <si>
    <t xml:space="preserve">Laporan Bulanan RBM</t>
  </si>
  <si>
    <t xml:space="preserve">https://kopluck8.github.io/RBM_TNGunungTambora/laporan/</t>
  </si>
  <si>
    <t xml:space="preserve">Resor mengunduh PDF laporan bulanan dengan kode akses.</t>
  </si>
  <si>
    <t xml:space="preserve">Grafik</t>
  </si>
  <si>
    <t xml:space="preserve">Beban Kerja TN Tambora</t>
  </si>
  <si>
    <t xml:space="preserve">https://docs.google.com/spreadsheets/d/e/2CAIWO3emAV1x3glDUfwxF17DdMTFQ3Ir6qmjgL00uSfi205SDI1PS6XoWdV2LVBmWB5XiQoFZzOv80BSqRQ/gviz/chartiframe?autosize=true&amp;oid=930395445</t>
  </si>
  <si>
    <t xml:space="preserve">Grafik beban kerja Balai TN Tambora.</t>
  </si>
  <si>
    <t xml:space="preserve">https://docs.google.com/spreadsheets/d/e/2CAIWO3emAV1x3glDUfwxF17DdMTFQ3Ir6qmjgL00uSfi205SDI1PS6XoWdV2LVBmWB5XiQoFZzOv80BSqRQ/gviz/chartiframe?autosize=true&amp;oid=915370174</t>
  </si>
  <si>
    <t xml:space="preserve">Grafik data Resor Piong.</t>
  </si>
  <si>
    <t xml:space="preserve">Pantau dan simulasi</t>
  </si>
  <si>
    <t xml:space="preserve">WebGIS Hotspot Resor</t>
  </si>
  <si>
    <t xml:space="preserve">https://kopluck8.github.io/Karhut_TN_Tambora/</t>
  </si>
  <si>
    <t xml:space="preserve">Peta hotspot MODIS dan VIIRS (NASA FIRMS) dengan batas resor, jalur, dan grid.</t>
  </si>
  <si>
    <t xml:space="preserve">kopluck8/Karhut_TN_Tambora</t>
  </si>
  <si>
    <t xml:space="preserve">Simulasi API Tambora</t>
  </si>
  <si>
    <t xml:space="preserve">https://kopluck8.github.io/Simulasi-API-Tambora/</t>
  </si>
  <si>
    <t xml:space="preserve">Simulasi rambatan api (FlamMap MTT / FARSITE) dengan landscape Sentinel-2 terbaru dan cuaca per jam.</t>
  </si>
  <si>
    <t xml:space="preserve">kopluck8/Simulasi-API-Tambora</t>
  </si>
  <si>
    <t xml:space="preserve">Pembuat WXS</t>
  </si>
  <si>
    <t xml:space="preserve">https://kopluck8.github.io/Simulasi-API-Tambora/pembuat_wxs.html</t>
  </si>
  <si>
    <t xml:space="preserve">Membuat file angin/cuaca .WXS untuk simulasi.</t>
  </si>
  <si>
    <t xml:space="preserve">Work Page FlamMap Tambora</t>
  </si>
  <si>
    <t xml:space="preserve">https://kopluck8.github.io/ModelAPI/</t>
  </si>
  <si>
    <t xml:space="preserve">Progres pemodelan arah rambatan api: tugas, input plot lapangan, rekap strata, dan fuel model.</t>
  </si>
  <si>
    <t xml:space="preserve">kopluck8/ModelAPI</t>
  </si>
  <si>
    <t xml:space="preserve">Peta Kerawanan Kebakaran Hutan</t>
  </si>
  <si>
    <t xml:space="preserve">https://www.google.com/maps/d/embed?mid=1ivtMxwFx5T4t6S699NZ_Y1pSn-TJd4Q</t>
  </si>
  <si>
    <t xml:space="preserve">Peta tingkat kerawanan kebakaran hutan.</t>
  </si>
  <si>
    <t xml:space="preserve">Sebaran Areal Terbakar</t>
  </si>
  <si>
    <t xml:space="preserve">https://kopluck8.github.io/Simulasi-API-Tambora/peta_terbakar.html</t>
  </si>
  <si>
    <t xml:space="preserve">Peta areal terbakar dari delineasi manual tiap 5 hari, dengan rekap per resor; diperbarui otomatis dari Google Drive.</t>
  </si>
  <si>
    <t xml:space="preserve">Rekap Kejadian Kebakaran Hutan</t>
  </si>
  <si>
    <t xml:space="preserve">https://drive.google.com/open?id=1J0Ys2ccDlIkI8PgLmeTgkfBcpHWz8bWX77mBEXyCCr4</t>
  </si>
  <si>
    <t xml:space="preserve">Rekapitulasi data kejadian kebakaran hutan.</t>
  </si>
  <si>
    <t xml:space="preserve">assets/foto/pemadaman.jpg</t>
  </si>
  <si>
    <t xml:space="preserve">Laporan dan data</t>
  </si>
  <si>
    <t xml:space="preserve">Rekap Laporan Kejadian 2026</t>
  </si>
  <si>
    <t xml:space="preserve">https://drive.google.com/open?id=18qc30ZrKAgXeiqRzeqXh2Vqqhscq1kqVKEL_6mBA6Wc</t>
  </si>
  <si>
    <t xml:space="preserve">Rekap laporan kejadian (LK) tahun 2026.</t>
  </si>
  <si>
    <t xml:space="preserve">Database Polhut (DaPolTam)</t>
  </si>
  <si>
    <t xml:space="preserve">https://drive.google.com/open?id=17O0M1sCb8oUHnNcCWMiPc1gNNSRthOfDw6zhjAP21KA</t>
  </si>
  <si>
    <t xml:space="preserve">Database Polisi Kehutanan Balai TN Tambora.</t>
  </si>
  <si>
    <t xml:space="preserve">Gangguan kawasan</t>
  </si>
  <si>
    <t xml:space="preserve">Sebaran Gangguan Kawasan 2020–2026</t>
  </si>
  <si>
    <t xml:space="preserve">https://www.google.com/maps/d/embed?mid=1Z_mO4yPMvjnjEm4BOaqZl-2H2GTKYis</t>
  </si>
  <si>
    <t xml:space="preserve">Peta sebaran temuan gangguan kawasan sejak 2020.</t>
  </si>
  <si>
    <t xml:space="preserve">Temuan Gangguan Kawasan</t>
  </si>
  <si>
    <t xml:space="preserve">https://docs.google.com/spreadsheets/d/e/2CAIWO3em_JBP-A0i1W6YQObvXgLB2INRQpm0Jsz0l57-MtjVqcog1jXHfPuH6IyRKztWAREZxRCQwPScb2Q/gviz/chartiframe?autosize=true&amp;oid=860122238</t>
  </si>
  <si>
    <t xml:space="preserve">Grafik temuan gangguan kawasan di TN Tambora.</t>
  </si>
  <si>
    <t xml:space="preserve">Data kunjungan</t>
  </si>
  <si>
    <t xml:space="preserve">Rekap Data Kunjungan Wisata</t>
  </si>
  <si>
    <t xml:space="preserve">https://docs.google.com/spreadsheets/d/1EqteU7YyVOZeuMxgtCksg5EgNqoQbRukg4sUGJQgmPs/edit</t>
  </si>
  <si>
    <t xml:space="preserve">Rekap data kunjungan wisata TN Tambora.</t>
  </si>
  <si>
    <t xml:space="preserve">assets/foto/puncak.jpg</t>
  </si>
  <si>
    <t xml:space="preserve">Jumlah pengunjung</t>
  </si>
  <si>
    <t xml:space="preserve">Wisatawan Nusantara</t>
  </si>
  <si>
    <t xml:space="preserve">https://docs.google.com/spreadsheets/d/e/2CAIWO3em26JSDdJwPkxsRlMO-XcUw4VyLnQ_KVhzOLG4ai4Hw2XL8XD9DdX8YuSpFJu-ZjmAzbJrs1C1OYQ/gviz/chartiframe?autosize=true&amp;oid=1763812454</t>
  </si>
  <si>
    <t xml:space="preserve">Jumlah pengunjung wisatawan nusantara.</t>
  </si>
  <si>
    <t xml:space="preserve">Wisatawan Mancanegara</t>
  </si>
  <si>
    <t xml:space="preserve">https://docs.google.com/spreadsheets/d/e/2CAIWO3em26JSDdJwPkxsRlMO-XcUw4VyLnQ_KVhzOLG4ai4Hw2XL8XD9DdX8YuSpFJu-ZjmAzbJrs1C1OYQ/gviz/chartiframe?autosize=true&amp;oid=1960609530</t>
  </si>
  <si>
    <t xml:space="preserve">Jumlah pengunjung wisatawan mancanegara.</t>
  </si>
  <si>
    <t xml:space="preserve">Rata-rata Pengunjung 2023–2025</t>
  </si>
  <si>
    <t xml:space="preserve">https://docs.google.com/spreadsheets/d/e/2CAIWO3em26JSDdJwPkxsRlMO-XcUw4VyLnQ_KVhzOLG4ai4Hw2XL8XD9DdX8YuSpFJu-ZjmAzbJrs1C1OYQ/gviz/chartiframe?autosize=true&amp;oid=745623019</t>
  </si>
  <si>
    <t xml:space="preserve">Rata-rata pengunjung tahun 2023 sampai 2025.</t>
  </si>
  <si>
    <t xml:space="preserve">Oi Marai</t>
  </si>
  <si>
    <t xml:space="preserve">https://docs.google.com/spreadsheets/d/e/2CAIWO3em26JSDdJwPkxsRlMO-XcUw4VyLnQ_KVhzOLG4ai4Hw2XL8XD9DdX8YuSpFJu-ZjmAzbJrs1C1OYQ/gviz/chartiframe?autosize=true&amp;oid=2118360008</t>
  </si>
  <si>
    <t xml:space="preserve">Kunjungan wisata Oi Marai.</t>
  </si>
  <si>
    <t xml:space="preserve">Sanctuary Rusa Timor</t>
  </si>
  <si>
    <t xml:space="preserve">https://docs.google.com/spreadsheets/d/e/2CAIWO3em26JSDdJwPkxsRlMO-XcUw4VyLnQ_KVhzOLG4ai4Hw2XL8XD9DdX8YuSpFJu-ZjmAzbJrs1C1OYQ/gviz/chartiframe?autosize=true&amp;oid=999855916</t>
  </si>
  <si>
    <t xml:space="preserve">Kunjungan Sanctuary Rusa Timor.</t>
  </si>
  <si>
    <t xml:space="preserve">Asal pendaki</t>
  </si>
  <si>
    <t xml:space="preserve">Pendaki Nusantara</t>
  </si>
  <si>
    <t xml:space="preserve">https://docs.google.com/spreadsheets/d/e/2CAIWO3em26JSDdJwPkxsRlMO-XcUw4VyLnQ_KVhzOLG4ai4Hw2XL8XD9DdX8YuSpFJu-ZjmAzbJrs1C1OYQ/gviz/chartiframe?autosize=true&amp;oid=1774462162</t>
  </si>
  <si>
    <t xml:space="preserve">Asal wisatawan nusantara yang mendaki.</t>
  </si>
  <si>
    <t xml:space="preserve">Pendaki Nusantara dari Luar NTB</t>
  </si>
  <si>
    <t xml:space="preserve">https://docs.google.com/spreadsheets/d/e/2CAIWO3em26JSDdJwPkxsRlMO-XcUw4VyLnQ_KVhzOLG4ai4Hw2XL8XD9DdX8YuSpFJu-ZjmAzbJrs1C1OYQ/gviz/chartiframe?autosize=true&amp;oid=462221941</t>
  </si>
  <si>
    <t xml:space="preserve">Asal pendaki nusantara dari luar NTB.</t>
  </si>
  <si>
    <t xml:space="preserve">Pendaki Mancanegara</t>
  </si>
  <si>
    <t xml:space="preserve">https://docs.google.com/spreadsheets/d/e/2CAIWO3em26JSDdJwPkxsRlMO-XcUw4VyLnQ_KVhzOLG4ai4Hw2XL8XD9DdX8YuSpFJu-ZjmAzbJrs1C1OYQ/gviz/chartiframe?autosize=true&amp;oid=437062767</t>
  </si>
  <si>
    <t xml:space="preserve">Asal wisatawan mancanegara yang mendaki.</t>
  </si>
  <si>
    <t xml:space="preserve">Dashboard Aset BMN</t>
  </si>
  <si>
    <t xml:space="preserve">https://kopluck8.github.io/Dasboard_BMN_BTNT/</t>
  </si>
  <si>
    <t xml:space="preserve">Membaca file Daftar Aset BMN (.xlsx) langsung di browser: ringkasan, kandidat penghapusan, kendaraan dan umur aset, unduhan CSV.</t>
  </si>
  <si>
    <t xml:space="preserve">kopluck8/Dasboard_BMN_BTNT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</si>
</sst>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@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22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0B122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Courier New"/>
      <family val="0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5E7EB"/>
        <bgColor rgb="FFD1D5DB"/>
      </patternFill>
    </fill>
    <fill>
      <patternFill patternType="solid">
        <fgColor rgb="FFB45309"/>
        <bgColor rgb="FF993366"/>
      </patternFill>
    </fill>
    <fill>
      <patternFill patternType="solid">
        <fgColor rgb="FF1F2937"/>
        <bgColor rgb="FF0B122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993366"/>
      <rgbColor rgb="FFFFFFCC"/>
      <rgbColor rgb="FFE5E7EB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B8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B1220"/>
      <rgbColor rgb="FF333300"/>
      <rgbColor rgb="FFB45309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DB8FF"/>
    <pageSetUpPr fitToPage="true"/>
  </sheetPr>
  <dimension ref="B2:D6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0"/>
    <col collapsed="false" customWidth="true" hidden="false" outlineLevel="0" max="3" min="3" style="0" width="58"/>
    <col collapsed="false" customWidth="true" hidden="false" outlineLevel="0" max="4" min="4" style="0" width="40"/>
  </cols>
  <sheetData>
    <row r="2" customFormat="false" ht="27.75" hidden="false" customHeight="true" outlineLevel="0" collapsed="false">
      <c r="B2" s="1" t="s">
        <v>0</v>
      </c>
    </row>
    <row r="3" customFormat="false" ht="30.75" hidden="false" customHeight="true" outlineLevel="0" collapsed="false">
      <c r="B3" s="2" t="s">
        <v>1</v>
      </c>
      <c r="C3" s="2"/>
      <c r="D3" s="2"/>
    </row>
    <row r="5" customFormat="false" ht="19.5" hidden="false" customHeight="true" outlineLevel="0" collapsed="false">
      <c r="B5" s="3" t="s">
        <v>2</v>
      </c>
    </row>
    <row r="6" customFormat="false" ht="16.5" hidden="false" customHeight="true" outlineLevel="0" collapsed="false">
      <c r="B6" s="4" t="s">
        <v>3</v>
      </c>
      <c r="C6" s="4" t="s">
        <v>4</v>
      </c>
      <c r="D6" s="4"/>
    </row>
    <row r="7" customFormat="false" ht="30.75" hidden="false" customHeight="true" outlineLevel="0" collapsed="false">
      <c r="B7" s="5" t="s">
        <v>5</v>
      </c>
      <c r="C7" s="5" t="s">
        <v>6</v>
      </c>
      <c r="D7" s="5"/>
    </row>
    <row r="8" customFormat="false" ht="30.75" hidden="false" customHeight="true" outlineLevel="0" collapsed="false">
      <c r="B8" s="5" t="s">
        <v>7</v>
      </c>
      <c r="C8" s="5" t="s">
        <v>8</v>
      </c>
      <c r="D8" s="5"/>
    </row>
    <row r="9" customFormat="false" ht="16.5" hidden="false" customHeight="true" outlineLevel="0" collapsed="false">
      <c r="B9" s="6" t="s">
        <v>9</v>
      </c>
      <c r="C9" s="5" t="s">
        <v>10</v>
      </c>
      <c r="D9" s="5"/>
    </row>
    <row r="10" customFormat="false" ht="16.5" hidden="false" customHeight="true" outlineLevel="0" collapsed="false">
      <c r="B10" s="5" t="s">
        <v>11</v>
      </c>
      <c r="C10" s="5" t="s">
        <v>12</v>
      </c>
      <c r="D10" s="5"/>
    </row>
    <row r="12" customFormat="false" ht="19.5" hidden="false" customHeight="true" outlineLevel="0" collapsed="false">
      <c r="B12" s="3" t="s">
        <v>13</v>
      </c>
    </row>
    <row r="13" customFormat="false" ht="16.5" hidden="false" customHeight="true" outlineLevel="0" collapsed="false">
      <c r="B13" s="4" t="s">
        <v>14</v>
      </c>
      <c r="C13" s="4" t="s">
        <v>15</v>
      </c>
      <c r="D13" s="4"/>
    </row>
    <row r="14" customFormat="false" ht="16.5" hidden="false" customHeight="true" outlineLevel="0" collapsed="false">
      <c r="B14" s="5" t="s">
        <v>16</v>
      </c>
      <c r="C14" s="5" t="s">
        <v>17</v>
      </c>
      <c r="D14" s="5"/>
    </row>
    <row r="15" customFormat="false" ht="16.5" hidden="false" customHeight="true" outlineLevel="0" collapsed="false">
      <c r="B15" s="5" t="s">
        <v>18</v>
      </c>
      <c r="C15" s="5" t="s">
        <v>19</v>
      </c>
      <c r="D15" s="5"/>
    </row>
    <row r="16" customFormat="false" ht="16.5" hidden="false" customHeight="true" outlineLevel="0" collapsed="false">
      <c r="B16" s="5" t="s">
        <v>20</v>
      </c>
      <c r="C16" s="5" t="s">
        <v>21</v>
      </c>
      <c r="D16" s="5"/>
    </row>
    <row r="17" customFormat="false" ht="30.75" hidden="false" customHeight="true" outlineLevel="0" collapsed="false">
      <c r="B17" s="5" t="s">
        <v>22</v>
      </c>
      <c r="C17" s="5" t="s">
        <v>23</v>
      </c>
      <c r="D17" s="5"/>
    </row>
    <row r="18" customFormat="false" ht="30.75" hidden="false" customHeight="true" outlineLevel="0" collapsed="false">
      <c r="B18" s="5" t="s">
        <v>24</v>
      </c>
      <c r="C18" s="5" t="s">
        <v>25</v>
      </c>
      <c r="D18" s="5"/>
    </row>
    <row r="20" customFormat="false" ht="19.5" hidden="false" customHeight="true" outlineLevel="0" collapsed="false">
      <c r="B20" s="3" t="s">
        <v>26</v>
      </c>
    </row>
    <row r="21" customFormat="false" ht="16.5" hidden="false" customHeight="true" outlineLevel="0" collapsed="false">
      <c r="B21" s="4" t="s">
        <v>27</v>
      </c>
      <c r="C21" s="4" t="s">
        <v>28</v>
      </c>
      <c r="D21" s="4" t="s">
        <v>29</v>
      </c>
    </row>
    <row r="22" customFormat="false" ht="16.5" hidden="false" customHeight="true" outlineLevel="0" collapsed="false">
      <c r="B22" s="7" t="s">
        <v>30</v>
      </c>
      <c r="C22" s="5" t="s">
        <v>31</v>
      </c>
      <c r="D22" s="5" t="s">
        <v>32</v>
      </c>
    </row>
    <row r="23" customFormat="false" ht="16.5" hidden="false" customHeight="true" outlineLevel="0" collapsed="false">
      <c r="B23" s="7" t="s">
        <v>33</v>
      </c>
      <c r="C23" s="5" t="s">
        <v>34</v>
      </c>
      <c r="D23" s="5" t="s">
        <v>32</v>
      </c>
    </row>
    <row r="24" customFormat="false" ht="16.5" hidden="false" customHeight="true" outlineLevel="0" collapsed="false">
      <c r="B24" s="7" t="s">
        <v>35</v>
      </c>
      <c r="C24" s="5" t="s">
        <v>36</v>
      </c>
      <c r="D24" s="5" t="s">
        <v>32</v>
      </c>
    </row>
    <row r="25" customFormat="false" ht="16.5" hidden="false" customHeight="true" outlineLevel="0" collapsed="false">
      <c r="B25" s="7" t="s">
        <v>37</v>
      </c>
      <c r="C25" s="5" t="s">
        <v>38</v>
      </c>
      <c r="D25" s="5" t="s">
        <v>32</v>
      </c>
    </row>
    <row r="26" customFormat="false" ht="16.5" hidden="false" customHeight="true" outlineLevel="0" collapsed="false">
      <c r="B26" s="7" t="s">
        <v>39</v>
      </c>
      <c r="C26" s="5" t="s">
        <v>40</v>
      </c>
      <c r="D26" s="5" t="s">
        <v>41</v>
      </c>
    </row>
    <row r="27" customFormat="false" ht="16.5" hidden="false" customHeight="true" outlineLevel="0" collapsed="false">
      <c r="B27" s="7" t="s">
        <v>42</v>
      </c>
      <c r="C27" s="5" t="s">
        <v>43</v>
      </c>
      <c r="D27" s="5" t="s">
        <v>41</v>
      </c>
    </row>
    <row r="28" customFormat="false" ht="16.5" hidden="false" customHeight="true" outlineLevel="0" collapsed="false">
      <c r="B28" s="7" t="s">
        <v>44</v>
      </c>
      <c r="C28" s="5" t="s">
        <v>45</v>
      </c>
      <c r="D28" s="5" t="s">
        <v>32</v>
      </c>
    </row>
    <row r="29" customFormat="false" ht="16.5" hidden="false" customHeight="true" outlineLevel="0" collapsed="false">
      <c r="B29" s="7" t="s">
        <v>46</v>
      </c>
      <c r="C29" s="5" t="s">
        <v>47</v>
      </c>
      <c r="D29" s="5" t="s">
        <v>48</v>
      </c>
    </row>
    <row r="30" customFormat="false" ht="30.75" hidden="false" customHeight="true" outlineLevel="0" collapsed="false">
      <c r="B30" s="2" t="s">
        <v>49</v>
      </c>
      <c r="C30" s="2"/>
      <c r="D30" s="2"/>
    </row>
    <row r="32" customFormat="false" ht="19.5" hidden="false" customHeight="true" outlineLevel="0" collapsed="false">
      <c r="B32" s="3" t="s">
        <v>50</v>
      </c>
    </row>
    <row r="33" customFormat="false" ht="16.5" hidden="false" customHeight="true" outlineLevel="0" collapsed="false">
      <c r="B33" s="4" t="s">
        <v>51</v>
      </c>
      <c r="C33" s="4" t="s">
        <v>52</v>
      </c>
      <c r="D33" s="4" t="s">
        <v>53</v>
      </c>
    </row>
    <row r="34" customFormat="false" ht="16.5" hidden="false" customHeight="true" outlineLevel="0" collapsed="false">
      <c r="B34" s="7" t="s">
        <v>54</v>
      </c>
      <c r="C34" s="5" t="s">
        <v>55</v>
      </c>
      <c r="D34" s="5" t="s">
        <v>56</v>
      </c>
    </row>
    <row r="35" customFormat="false" ht="16.5" hidden="false" customHeight="true" outlineLevel="0" collapsed="false">
      <c r="B35" s="7" t="s">
        <v>57</v>
      </c>
      <c r="C35" s="5" t="s">
        <v>58</v>
      </c>
      <c r="D35" s="5" t="s">
        <v>59</v>
      </c>
    </row>
    <row r="36" customFormat="false" ht="16.5" hidden="false" customHeight="true" outlineLevel="0" collapsed="false">
      <c r="B36" s="7" t="s">
        <v>60</v>
      </c>
      <c r="C36" s="5" t="s">
        <v>61</v>
      </c>
      <c r="D36" s="5" t="s">
        <v>62</v>
      </c>
    </row>
    <row r="37" customFormat="false" ht="16.5" hidden="false" customHeight="true" outlineLevel="0" collapsed="false">
      <c r="B37" s="7" t="s">
        <v>63</v>
      </c>
      <c r="C37" s="5" t="s">
        <v>64</v>
      </c>
      <c r="D37" s="5" t="s">
        <v>65</v>
      </c>
    </row>
    <row r="38" customFormat="false" ht="16.5" hidden="false" customHeight="true" outlineLevel="0" collapsed="false">
      <c r="B38" s="7" t="s">
        <v>66</v>
      </c>
      <c r="C38" s="5" t="s">
        <v>67</v>
      </c>
      <c r="D38" s="5" t="s">
        <v>68</v>
      </c>
    </row>
    <row r="39" customFormat="false" ht="16.5" hidden="false" customHeight="true" outlineLevel="0" collapsed="false">
      <c r="B39" s="7" t="s">
        <v>69</v>
      </c>
      <c r="C39" s="5" t="s">
        <v>70</v>
      </c>
      <c r="D39" s="5" t="s">
        <v>71</v>
      </c>
    </row>
    <row r="41" customFormat="false" ht="19.5" hidden="false" customHeight="true" outlineLevel="0" collapsed="false">
      <c r="B41" s="3" t="s">
        <v>72</v>
      </c>
    </row>
    <row r="42" customFormat="false" ht="30.75" hidden="false" customHeight="true" outlineLevel="0" collapsed="false">
      <c r="B42" s="2" t="s">
        <v>73</v>
      </c>
      <c r="C42" s="2"/>
      <c r="D42" s="2"/>
    </row>
    <row r="44" customFormat="false" ht="19.5" hidden="false" customHeight="true" outlineLevel="0" collapsed="false">
      <c r="B44" s="3" t="s">
        <v>74</v>
      </c>
    </row>
    <row r="45" customFormat="false" ht="15" hidden="false" customHeight="false" outlineLevel="0" collapsed="false">
      <c r="B45" s="4" t="s">
        <v>75</v>
      </c>
      <c r="C45" s="4" t="s">
        <v>76</v>
      </c>
      <c r="D45" s="4" t="s">
        <v>77</v>
      </c>
    </row>
    <row r="46" customFormat="false" ht="15" hidden="false" customHeight="false" outlineLevel="0" collapsed="false">
      <c r="B46" s="7" t="str">
        <f aca="false">IF(Tema!$A2="","",Tema!$A2)</f>
        <v>kawasan</v>
      </c>
      <c r="C46" s="5" t="str">
        <f aca="false">IF(Tema!$A2="","",Tema!$B2)</f>
        <v>Profil Kawasan</v>
      </c>
      <c r="D46" s="8" t="n">
        <f aca="false">IF(Tema!$A2="","",COUNTIFS(Item!$A$2:$A$400,Tema!$A2,Item!$J$2:$J$400,"&lt;&gt;tidak",Item!$C$2:$C$400,"&lt;&gt;"))</f>
        <v>12</v>
      </c>
    </row>
    <row r="47" customFormat="false" ht="15" hidden="false" customHeight="false" outlineLevel="0" collapsed="false">
      <c r="B47" s="7" t="str">
        <f aca="false">IF(Tema!$A3="","",Tema!$A3)</f>
        <v>resor</v>
      </c>
      <c r="C47" s="5" t="str">
        <f aca="false">IF(Tema!$A3="","",Tema!$B3)</f>
        <v>Resor Pengelolaan</v>
      </c>
      <c r="D47" s="8" t="n">
        <f aca="false">IF(Tema!$A3="","",COUNTIFS(Item!$A$2:$A$400,Tema!$A3,Item!$J$2:$J$400,"&lt;&gt;tidak",Item!$C$2:$C$400,"&lt;&gt;"))</f>
        <v>9</v>
      </c>
    </row>
    <row r="48" customFormat="false" ht="15" hidden="false" customHeight="false" outlineLevel="0" collapsed="false">
      <c r="B48" s="7" t="str">
        <f aca="false">IF(Tema!$A4="","",Tema!$A4)</f>
        <v>smart</v>
      </c>
      <c r="C48" s="5" t="str">
        <f aca="false">IF(Tema!$A4="","",Tema!$B4)</f>
        <v>SMART Patrol</v>
      </c>
      <c r="D48" s="8" t="n">
        <f aca="false">IF(Tema!$A4="","",COUNTIFS(Item!$A$2:$A$400,Tema!$A4,Item!$J$2:$J$400,"&lt;&gt;tidak",Item!$C$2:$C$400,"&lt;&gt;"))</f>
        <v>14</v>
      </c>
    </row>
    <row r="49" customFormat="false" ht="15" hidden="false" customHeight="false" outlineLevel="0" collapsed="false">
      <c r="B49" s="7" t="str">
        <f aca="false">IF(Tema!$A5="","",Tema!$A5)</f>
        <v>rbm</v>
      </c>
      <c r="C49" s="5" t="str">
        <f aca="false">IF(Tema!$A5="","",Tema!$B5)</f>
        <v>Resort Based Management</v>
      </c>
      <c r="D49" s="8" t="n">
        <f aca="false">IF(Tema!$A5="","",COUNTIFS(Item!$A$2:$A$400,Tema!$A5,Item!$J$2:$J$400,"&lt;&gt;tidak",Item!$C$2:$C$400,"&lt;&gt;"))</f>
        <v>5</v>
      </c>
    </row>
    <row r="50" customFormat="false" ht="15" hidden="false" customHeight="false" outlineLevel="0" collapsed="false">
      <c r="B50" s="7" t="str">
        <f aca="false">IF(Tema!$A6="","",Tema!$A6)</f>
        <v>karhut</v>
      </c>
      <c r="C50" s="5" t="str">
        <f aca="false">IF(Tema!$A6="","",Tema!$B6)</f>
        <v>Kebakaran Hutan</v>
      </c>
      <c r="D50" s="8" t="n">
        <f aca="false">IF(Tema!$A6="","",COUNTIFS(Item!$A$2:$A$400,Tema!$A6,Item!$J$2:$J$400,"&lt;&gt;tidak",Item!$C$2:$C$400,"&lt;&gt;"))</f>
        <v>7</v>
      </c>
    </row>
    <row r="51" customFormat="false" ht="15" hidden="false" customHeight="false" outlineLevel="0" collapsed="false">
      <c r="B51" s="7" t="str">
        <f aca="false">IF(Tema!$A7="","",Tema!$A7)</f>
        <v>polhut</v>
      </c>
      <c r="C51" s="5" t="str">
        <f aca="false">IF(Tema!$A7="","",Tema!$B7)</f>
        <v>Perlindungan Kawasan</v>
      </c>
      <c r="D51" s="8" t="n">
        <f aca="false">IF(Tema!$A7="","",COUNTIFS(Item!$A$2:$A$400,Tema!$A7,Item!$J$2:$J$400,"&lt;&gt;tidak",Item!$C$2:$C$400,"&lt;&gt;"))</f>
        <v>4</v>
      </c>
    </row>
    <row r="52" customFormat="false" ht="15" hidden="false" customHeight="false" outlineLevel="0" collapsed="false">
      <c r="B52" s="7" t="str">
        <f aca="false">IF(Tema!$A8="","",Tema!$A8)</f>
        <v>wisata</v>
      </c>
      <c r="C52" s="5" t="str">
        <f aca="false">IF(Tema!$A8="","",Tema!$B8)</f>
        <v>Wisata &amp; Pelayanan</v>
      </c>
      <c r="D52" s="8" t="n">
        <f aca="false">IF(Tema!$A8="","",COUNTIFS(Item!$A$2:$A$400,Tema!$A8,Item!$J$2:$J$400,"&lt;&gt;tidak",Item!$C$2:$C$400,"&lt;&gt;"))</f>
        <v>9</v>
      </c>
    </row>
    <row r="53" customFormat="false" ht="15" hidden="false" customHeight="false" outlineLevel="0" collapsed="false">
      <c r="B53" s="7" t="str">
        <f aca="false">IF(Tema!$A9="","",Tema!$A9)</f>
        <v>bmn</v>
      </c>
      <c r="C53" s="5" t="str">
        <f aca="false">IF(Tema!$A9="","",Tema!$B9)</f>
        <v>Aset BMN</v>
      </c>
      <c r="D53" s="8" t="n">
        <f aca="false">IF(Tema!$A9="","",COUNTIFS(Item!$A$2:$A$400,Tema!$A9,Item!$J$2:$J$400,"&lt;&gt;tidak",Item!$C$2:$C$400,"&lt;&gt;"))</f>
        <v>1</v>
      </c>
    </row>
    <row r="54" customFormat="false" ht="15" hidden="false" customHeight="false" outlineLevel="0" collapsed="false">
      <c r="B54" s="7" t="str">
        <f aca="false">IF(Tema!$A10="","",Tema!$A10)</f>
        <v/>
      </c>
      <c r="C54" s="5" t="str">
        <f aca="false">IF(Tema!$A10="","",Tema!$B10)</f>
        <v/>
      </c>
      <c r="D54" s="8" t="str">
        <f aca="false">IF(Tema!$A10="","",COUNTIFS(Item!$A$2:$A$400,Tema!$A10,Item!$J$2:$J$400,"&lt;&gt;tidak",Item!$C$2:$C$400,"&lt;&gt;"))</f>
        <v/>
      </c>
    </row>
    <row r="55" customFormat="false" ht="15" hidden="false" customHeight="false" outlineLevel="0" collapsed="false">
      <c r="B55" s="7" t="str">
        <f aca="false">IF(Tema!$A11="","",Tema!$A11)</f>
        <v/>
      </c>
      <c r="C55" s="5" t="str">
        <f aca="false">IF(Tema!$A11="","",Tema!$B11)</f>
        <v/>
      </c>
      <c r="D55" s="8" t="str">
        <f aca="false">IF(Tema!$A11="","",COUNTIFS(Item!$A$2:$A$400,Tema!$A11,Item!$J$2:$J$400,"&lt;&gt;tidak",Item!$C$2:$C$400,"&lt;&gt;"))</f>
        <v/>
      </c>
    </row>
    <row r="56" customFormat="false" ht="15" hidden="false" customHeight="false" outlineLevel="0" collapsed="false">
      <c r="B56" s="7" t="str">
        <f aca="false">IF(Tema!$A12="","",Tema!$A12)</f>
        <v/>
      </c>
      <c r="C56" s="5" t="str">
        <f aca="false">IF(Tema!$A12="","",Tema!$B12)</f>
        <v/>
      </c>
      <c r="D56" s="8" t="str">
        <f aca="false">IF(Tema!$A12="","",COUNTIFS(Item!$A$2:$A$400,Tema!$A12,Item!$J$2:$J$400,"&lt;&gt;tidak",Item!$C$2:$C$400,"&lt;&gt;"))</f>
        <v/>
      </c>
    </row>
    <row r="57" customFormat="false" ht="15" hidden="false" customHeight="false" outlineLevel="0" collapsed="false">
      <c r="B57" s="7" t="str">
        <f aca="false">IF(Tema!$A13="","",Tema!$A13)</f>
        <v/>
      </c>
      <c r="C57" s="5" t="str">
        <f aca="false">IF(Tema!$A13="","",Tema!$B13)</f>
        <v/>
      </c>
      <c r="D57" s="8" t="str">
        <f aca="false">IF(Tema!$A13="","",COUNTIFS(Item!$A$2:$A$400,Tema!$A13,Item!$J$2:$J$400,"&lt;&gt;tidak",Item!$C$2:$C$400,"&lt;&gt;"))</f>
        <v/>
      </c>
    </row>
    <row r="58" customFormat="false" ht="15" hidden="false" customHeight="false" outlineLevel="0" collapsed="false">
      <c r="B58" s="9" t="s">
        <v>78</v>
      </c>
      <c r="C58" s="5" t="s">
        <v>79</v>
      </c>
      <c r="D58" s="10" t="n">
        <f aca="false">COUNTIFS(Item!$C$2:$C$400,"&lt;&gt;",Item!$J$2:$J$400,"&lt;&gt;tidak")</f>
        <v>61</v>
      </c>
    </row>
    <row r="60" customFormat="false" ht="30.75" hidden="false" customHeight="true" outlineLevel="0" collapsed="false">
      <c r="B60" s="2" t="s">
        <v>80</v>
      </c>
      <c r="C60" s="2"/>
      <c r="D60" s="2"/>
    </row>
  </sheetData>
  <mergeCells count="15">
    <mergeCell ref="B3:D3"/>
    <mergeCell ref="C6:D6"/>
    <mergeCell ref="C7:D7"/>
    <mergeCell ref="C8:D8"/>
    <mergeCell ref="C9:D9"/>
    <mergeCell ref="C10:D10"/>
    <mergeCell ref="C13:D13"/>
    <mergeCell ref="C14:D14"/>
    <mergeCell ref="C15:D15"/>
    <mergeCell ref="C16:D16"/>
    <mergeCell ref="C17:D17"/>
    <mergeCell ref="C18:D18"/>
    <mergeCell ref="B30:D30"/>
    <mergeCell ref="B42:D42"/>
    <mergeCell ref="B60:D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B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0"/>
  </cols>
  <sheetData>
    <row r="1" customFormat="false" ht="21.75" hidden="false" customHeight="true" outlineLevel="0" collapsed="false">
      <c r="A1" s="11" t="s">
        <v>51</v>
      </c>
      <c r="B1" s="12" t="s">
        <v>81</v>
      </c>
    </row>
    <row r="2" customFormat="false" ht="15" hidden="false" customHeight="false" outlineLevel="0" collapsed="false">
      <c r="A2" s="13" t="s">
        <v>54</v>
      </c>
      <c r="B2" s="14" t="s">
        <v>82</v>
      </c>
    </row>
    <row r="3" customFormat="false" ht="15" hidden="false" customHeight="false" outlineLevel="0" collapsed="false">
      <c r="A3" s="13" t="s">
        <v>57</v>
      </c>
      <c r="B3" s="14" t="s">
        <v>83</v>
      </c>
    </row>
    <row r="4" customFormat="false" ht="15" hidden="false" customHeight="false" outlineLevel="0" collapsed="false">
      <c r="A4" s="13" t="s">
        <v>60</v>
      </c>
      <c r="B4" s="14" t="s">
        <v>84</v>
      </c>
    </row>
    <row r="5" customFormat="false" ht="23.85" hidden="false" customHeight="false" outlineLevel="0" collapsed="false">
      <c r="A5" s="13" t="s">
        <v>63</v>
      </c>
      <c r="B5" s="14" t="s">
        <v>85</v>
      </c>
    </row>
    <row r="6" customFormat="false" ht="15" hidden="false" customHeight="false" outlineLevel="0" collapsed="false">
      <c r="A6" s="13" t="s">
        <v>66</v>
      </c>
      <c r="B6" s="14" t="s">
        <v>86</v>
      </c>
    </row>
    <row r="7" customFormat="false" ht="15" hidden="false" customHeight="false" outlineLevel="0" collapsed="false">
      <c r="A7" s="13" t="s">
        <v>69</v>
      </c>
      <c r="B7" s="14"/>
    </row>
    <row r="8" customFormat="false" ht="15" hidden="false" customHeight="false" outlineLevel="0" collapsed="false">
      <c r="A8" s="13"/>
      <c r="B8" s="14"/>
    </row>
    <row r="9" customFormat="false" ht="15" hidden="false" customHeight="false" outlineLevel="0" collapsed="false">
      <c r="A9" s="13"/>
      <c r="B9" s="14"/>
    </row>
    <row r="10" customFormat="false" ht="15" hidden="false" customHeight="false" outlineLevel="0" collapsed="false">
      <c r="A10" s="13"/>
      <c r="B10" s="14"/>
    </row>
    <row r="11" customFormat="false" ht="15" hidden="false" customHeight="false" outlineLevel="0" collapsed="false">
      <c r="A11" s="13"/>
      <c r="B11" s="14"/>
    </row>
    <row r="12" customFormat="false" ht="15" hidden="false" customHeight="false" outlineLevel="0" collapsed="false">
      <c r="A12" s="13"/>
      <c r="B12" s="14"/>
    </row>
    <row r="13" customFormat="false" ht="15" hidden="false" customHeight="false" outlineLevel="0" collapsed="false">
      <c r="A13" s="13"/>
      <c r="B13" s="14"/>
    </row>
    <row r="14" customFormat="false" ht="15" hidden="false" customHeight="false" outlineLevel="0" collapsed="false">
      <c r="A14" s="13"/>
      <c r="B14" s="14"/>
    </row>
    <row r="15" customFormat="false" ht="15" hidden="false" customHeight="false" outlineLevel="0" collapsed="false">
      <c r="A15" s="13"/>
      <c r="B15" s="14"/>
    </row>
    <row r="16" customFormat="false" ht="15" hidden="false" customHeight="false" outlineLevel="0" collapsed="false">
      <c r="A16" s="13"/>
      <c r="B16" s="14"/>
    </row>
    <row r="17" customFormat="false" ht="15" hidden="false" customHeight="false" outlineLevel="0" collapsed="false">
      <c r="A17" s="13"/>
      <c r="B17" s="14"/>
    </row>
    <row r="18" customFormat="false" ht="15" hidden="false" customHeight="false" outlineLevel="0" collapsed="false">
      <c r="A18" s="13"/>
      <c r="B18" s="14"/>
    </row>
    <row r="19" customFormat="false" ht="15" hidden="false" customHeight="false" outlineLevel="0" collapsed="false">
      <c r="A19" s="13"/>
      <c r="B19" s="14"/>
    </row>
    <row r="20" customFormat="false" ht="15" hidden="false" customHeight="false" outlineLevel="0" collapsed="false">
      <c r="A20" s="13"/>
      <c r="B20" s="14"/>
    </row>
    <row r="21" customFormat="false" ht="15" hidden="false" customHeight="false" outlineLevel="0" collapsed="false">
      <c r="A21" s="13"/>
      <c r="B21" s="14"/>
    </row>
    <row r="22" customFormat="false" ht="15" hidden="false" customHeight="false" outlineLevel="0" collapsed="false">
      <c r="A22" s="13"/>
      <c r="B22" s="14"/>
    </row>
    <row r="23" customFormat="false" ht="15" hidden="false" customHeight="false" outlineLevel="0" collapsed="false">
      <c r="A23" s="13"/>
      <c r="B23" s="14"/>
    </row>
    <row r="24" customFormat="false" ht="15" hidden="false" customHeight="false" outlineLevel="0" collapsed="false">
      <c r="A24" s="13"/>
      <c r="B24" s="14"/>
    </row>
    <row r="25" customFormat="false" ht="15" hidden="false" customHeight="false" outlineLevel="0" collapsed="false">
      <c r="A25" s="13"/>
      <c r="B25" s="14"/>
    </row>
    <row r="26" customFormat="false" ht="15" hidden="false" customHeight="false" outlineLevel="0" collapsed="false">
      <c r="A26" s="13"/>
      <c r="B26" s="14"/>
    </row>
    <row r="27" customFormat="false" ht="15" hidden="false" customHeight="false" outlineLevel="0" collapsed="false">
      <c r="A27" s="13"/>
      <c r="B27" s="14"/>
    </row>
    <row r="28" customFormat="false" ht="15" hidden="false" customHeight="false" outlineLevel="0" collapsed="false">
      <c r="A28" s="13"/>
      <c r="B28" s="14"/>
    </row>
    <row r="29" customFormat="false" ht="15" hidden="false" customHeight="false" outlineLevel="0" collapsed="false">
      <c r="A29" s="13"/>
      <c r="B29" s="14"/>
    </row>
    <row r="30" customFormat="false" ht="15" hidden="false" customHeight="false" outlineLevel="0" collapsed="false">
      <c r="A30" s="13"/>
      <c r="B30" s="14"/>
    </row>
    <row r="31" customFormat="false" ht="15" hidden="false" customHeight="false" outlineLevel="0" collapsed="false">
      <c r="A31" s="13"/>
      <c r="B31" s="14"/>
    </row>
    <row r="32" customFormat="false" ht="15" hidden="false" customHeight="false" outlineLevel="0" collapsed="false">
      <c r="A32" s="13"/>
      <c r="B32" s="14"/>
    </row>
    <row r="33" customFormat="false" ht="15" hidden="false" customHeight="false" outlineLevel="0" collapsed="false">
      <c r="A33" s="13"/>
      <c r="B33" s="14"/>
    </row>
    <row r="34" customFormat="false" ht="15" hidden="false" customHeight="false" outlineLevel="0" collapsed="false">
      <c r="A34" s="13"/>
      <c r="B34" s="14"/>
    </row>
    <row r="35" customFormat="false" ht="15" hidden="false" customHeight="false" outlineLevel="0" collapsed="false">
      <c r="A35" s="13"/>
      <c r="B35" s="14"/>
    </row>
    <row r="36" customFormat="false" ht="15" hidden="false" customHeight="false" outlineLevel="0" collapsed="false">
      <c r="A36" s="13"/>
      <c r="B36" s="14"/>
    </row>
    <row r="37" customFormat="false" ht="15" hidden="false" customHeight="false" outlineLevel="0" collapsed="false">
      <c r="A37" s="13"/>
      <c r="B37" s="14"/>
    </row>
    <row r="38" customFormat="false" ht="15" hidden="false" customHeight="false" outlineLevel="0" collapsed="false">
      <c r="A38" s="13"/>
      <c r="B38" s="14"/>
    </row>
    <row r="39" customFormat="false" ht="15" hidden="false" customHeight="false" outlineLevel="0" collapsed="false">
      <c r="A39" s="13"/>
      <c r="B39" s="14"/>
    </row>
    <row r="40" customFormat="false" ht="15" hidden="false" customHeight="false" outlineLevel="0" collapsed="false">
      <c r="A40" s="13"/>
      <c r="B40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45309"/>
    <pageSetUpPr fitToPage="false"/>
  </sheetPr>
  <dimension ref="A1:K4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60"/>
    <col collapsed="false" customWidth="true" hidden="false" outlineLevel="0" max="6" min="5" style="0" width="10"/>
    <col collapsed="false" customWidth="true" hidden="false" outlineLevel="0" max="7" min="7" style="0" width="26"/>
    <col collapsed="false" customWidth="true" hidden="false" outlineLevel="0" max="8" min="8" style="0" width="9"/>
    <col collapsed="false" customWidth="true" hidden="false" outlineLevel="0" max="9" min="9" style="0" width="20"/>
    <col collapsed="false" customWidth="true" hidden="false" outlineLevel="0" max="10" min="10" style="0" width="50"/>
    <col collapsed="false" customWidth="true" hidden="false" outlineLevel="0" max="11" min="11" style="0" width="8"/>
  </cols>
  <sheetData>
    <row r="1" customFormat="false" ht="21.75" hidden="false" customHeight="true" outlineLevel="0" collapsed="false">
      <c r="A1" s="11" t="s">
        <v>75</v>
      </c>
      <c r="B1" s="11" t="s">
        <v>54</v>
      </c>
      <c r="C1" s="12" t="s">
        <v>87</v>
      </c>
      <c r="D1" s="12" t="s">
        <v>88</v>
      </c>
      <c r="E1" s="12" t="s">
        <v>89</v>
      </c>
      <c r="F1" s="12" t="s">
        <v>90</v>
      </c>
      <c r="G1" s="12" t="s">
        <v>91</v>
      </c>
      <c r="H1" s="12" t="s">
        <v>92</v>
      </c>
      <c r="I1" s="12" t="s">
        <v>93</v>
      </c>
      <c r="J1" s="12" t="s">
        <v>94</v>
      </c>
      <c r="K1" s="12" t="s">
        <v>95</v>
      </c>
    </row>
    <row r="2" customFormat="false" ht="23.85" hidden="false" customHeight="false" outlineLevel="0" collapsed="false">
      <c r="A2" s="13" t="s">
        <v>96</v>
      </c>
      <c r="B2" s="13" t="s">
        <v>97</v>
      </c>
      <c r="C2" s="13" t="s">
        <v>98</v>
      </c>
      <c r="D2" s="14" t="s">
        <v>99</v>
      </c>
      <c r="E2" s="13" t="s">
        <v>100</v>
      </c>
      <c r="F2" s="13" t="s">
        <v>101</v>
      </c>
      <c r="G2" s="13" t="s">
        <v>102</v>
      </c>
      <c r="H2" s="13" t="s">
        <v>103</v>
      </c>
      <c r="I2" s="13"/>
      <c r="J2" s="14" t="s">
        <v>104</v>
      </c>
      <c r="K2" s="13" t="s">
        <v>105</v>
      </c>
    </row>
    <row r="3" customFormat="false" ht="35.05" hidden="false" customHeight="false" outlineLevel="0" collapsed="false">
      <c r="A3" s="13" t="s">
        <v>106</v>
      </c>
      <c r="B3" s="13" t="s">
        <v>107</v>
      </c>
      <c r="C3" s="13" t="s">
        <v>108</v>
      </c>
      <c r="D3" s="14" t="s">
        <v>109</v>
      </c>
      <c r="E3" s="13" t="s">
        <v>110</v>
      </c>
      <c r="F3" s="13" t="s">
        <v>111</v>
      </c>
      <c r="G3" s="13"/>
      <c r="H3" s="13"/>
      <c r="I3" s="13"/>
      <c r="J3" s="14" t="s">
        <v>112</v>
      </c>
      <c r="K3" s="13" t="s">
        <v>105</v>
      </c>
    </row>
    <row r="4" customFormat="false" ht="23.85" hidden="false" customHeight="false" outlineLevel="0" collapsed="false">
      <c r="A4" s="13" t="s">
        <v>113</v>
      </c>
      <c r="B4" s="13" t="s">
        <v>114</v>
      </c>
      <c r="C4" s="13" t="s">
        <v>115</v>
      </c>
      <c r="D4" s="14" t="s">
        <v>116</v>
      </c>
      <c r="E4" s="13" t="s">
        <v>117</v>
      </c>
      <c r="F4" s="13" t="s">
        <v>118</v>
      </c>
      <c r="G4" s="13" t="s">
        <v>119</v>
      </c>
      <c r="H4" s="13" t="s">
        <v>120</v>
      </c>
      <c r="I4" s="13" t="s">
        <v>121</v>
      </c>
      <c r="J4" s="14" t="s">
        <v>122</v>
      </c>
      <c r="K4" s="13" t="s">
        <v>105</v>
      </c>
    </row>
    <row r="5" customFormat="false" ht="23.85" hidden="false" customHeight="false" outlineLevel="0" collapsed="false">
      <c r="A5" s="13" t="s">
        <v>123</v>
      </c>
      <c r="B5" s="13" t="s">
        <v>124</v>
      </c>
      <c r="C5" s="13" t="s">
        <v>125</v>
      </c>
      <c r="D5" s="14" t="s">
        <v>126</v>
      </c>
      <c r="E5" s="13" t="s">
        <v>106</v>
      </c>
      <c r="F5" s="13" t="s">
        <v>127</v>
      </c>
      <c r="G5" s="13" t="s">
        <v>128</v>
      </c>
      <c r="H5" s="13" t="s">
        <v>129</v>
      </c>
      <c r="I5" s="13" t="s">
        <v>130</v>
      </c>
      <c r="J5" s="14" t="s">
        <v>131</v>
      </c>
      <c r="K5" s="13" t="s">
        <v>105</v>
      </c>
    </row>
    <row r="6" customFormat="false" ht="23.85" hidden="false" customHeight="false" outlineLevel="0" collapsed="false">
      <c r="A6" s="13" t="s">
        <v>132</v>
      </c>
      <c r="B6" s="13" t="s">
        <v>133</v>
      </c>
      <c r="C6" s="13" t="s">
        <v>134</v>
      </c>
      <c r="D6" s="14" t="s">
        <v>135</v>
      </c>
      <c r="E6" s="13" t="s">
        <v>136</v>
      </c>
      <c r="F6" s="13" t="s">
        <v>137</v>
      </c>
      <c r="G6" s="13" t="s">
        <v>138</v>
      </c>
      <c r="H6" s="13" t="s">
        <v>139</v>
      </c>
      <c r="I6" s="13"/>
      <c r="J6" s="14" t="s">
        <v>140</v>
      </c>
      <c r="K6" s="13" t="s">
        <v>105</v>
      </c>
    </row>
    <row r="7" customFormat="false" ht="23.85" hidden="false" customHeight="false" outlineLevel="0" collapsed="false">
      <c r="A7" s="13" t="s">
        <v>141</v>
      </c>
      <c r="B7" s="13" t="s">
        <v>142</v>
      </c>
      <c r="C7" s="13" t="s">
        <v>143</v>
      </c>
      <c r="D7" s="14" t="s">
        <v>144</v>
      </c>
      <c r="E7" s="13" t="s">
        <v>145</v>
      </c>
      <c r="F7" s="13" t="s">
        <v>146</v>
      </c>
      <c r="G7" s="13" t="s">
        <v>147</v>
      </c>
      <c r="H7" s="13" t="s">
        <v>148</v>
      </c>
      <c r="I7" s="13"/>
      <c r="J7" s="14" t="s">
        <v>149</v>
      </c>
      <c r="K7" s="13" t="s">
        <v>105</v>
      </c>
    </row>
    <row r="8" customFormat="false" ht="23.85" hidden="false" customHeight="false" outlineLevel="0" collapsed="false">
      <c r="A8" s="13" t="s">
        <v>150</v>
      </c>
      <c r="B8" s="13" t="s">
        <v>151</v>
      </c>
      <c r="C8" s="13" t="s">
        <v>152</v>
      </c>
      <c r="D8" s="14" t="s">
        <v>153</v>
      </c>
      <c r="E8" s="13" t="s">
        <v>150</v>
      </c>
      <c r="F8" s="13" t="s">
        <v>154</v>
      </c>
      <c r="G8" s="13" t="s">
        <v>155</v>
      </c>
      <c r="H8" s="13" t="s">
        <v>156</v>
      </c>
      <c r="I8" s="13" t="s">
        <v>157</v>
      </c>
      <c r="J8" s="14" t="s">
        <v>158</v>
      </c>
      <c r="K8" s="13" t="s">
        <v>105</v>
      </c>
    </row>
    <row r="9" customFormat="false" ht="23.85" hidden="false" customHeight="false" outlineLevel="0" collapsed="false">
      <c r="A9" s="13" t="s">
        <v>159</v>
      </c>
      <c r="B9" s="13" t="s">
        <v>160</v>
      </c>
      <c r="C9" s="13" t="s">
        <v>161</v>
      </c>
      <c r="D9" s="14" t="s">
        <v>162</v>
      </c>
      <c r="E9" s="13" t="s">
        <v>163</v>
      </c>
      <c r="F9" s="13" t="s">
        <v>164</v>
      </c>
      <c r="G9" s="13"/>
      <c r="H9" s="13"/>
      <c r="I9" s="13"/>
      <c r="J9" s="14" t="s">
        <v>165</v>
      </c>
      <c r="K9" s="13" t="s">
        <v>105</v>
      </c>
    </row>
    <row r="10" customFormat="false" ht="15" hidden="false" customHeight="false" outlineLevel="0" collapsed="false">
      <c r="A10" s="13"/>
      <c r="B10" s="13"/>
      <c r="C10" s="13"/>
      <c r="D10" s="14"/>
      <c r="E10" s="13"/>
      <c r="F10" s="13"/>
      <c r="G10" s="13"/>
      <c r="H10" s="13"/>
      <c r="I10" s="13"/>
      <c r="J10" s="14"/>
      <c r="K10" s="13"/>
    </row>
    <row r="11" customFormat="false" ht="15" hidden="false" customHeight="false" outlineLevel="0" collapsed="false">
      <c r="A11" s="13"/>
      <c r="B11" s="13"/>
      <c r="C11" s="13"/>
      <c r="D11" s="14"/>
      <c r="E11" s="13"/>
      <c r="F11" s="13"/>
      <c r="G11" s="13"/>
      <c r="H11" s="13"/>
      <c r="I11" s="13"/>
      <c r="J11" s="14"/>
      <c r="K11" s="13"/>
    </row>
    <row r="12" customFormat="false" ht="15" hidden="false" customHeight="false" outlineLevel="0" collapsed="false">
      <c r="A12" s="13"/>
      <c r="B12" s="13"/>
      <c r="C12" s="13"/>
      <c r="D12" s="14"/>
      <c r="E12" s="13"/>
      <c r="F12" s="13"/>
      <c r="G12" s="13"/>
      <c r="H12" s="13"/>
      <c r="I12" s="13"/>
      <c r="J12" s="14"/>
      <c r="K12" s="13"/>
    </row>
    <row r="13" customFormat="false" ht="15" hidden="false" customHeight="false" outlineLevel="0" collapsed="false">
      <c r="A13" s="13"/>
      <c r="B13" s="13"/>
      <c r="C13" s="13"/>
      <c r="D13" s="14"/>
      <c r="E13" s="13"/>
      <c r="F13" s="13"/>
      <c r="G13" s="13"/>
      <c r="H13" s="13"/>
      <c r="I13" s="13"/>
      <c r="J13" s="14"/>
      <c r="K13" s="13"/>
    </row>
    <row r="14" customFormat="false" ht="15" hidden="false" customHeight="false" outlineLevel="0" collapsed="false">
      <c r="A14" s="13"/>
      <c r="B14" s="13"/>
      <c r="C14" s="13"/>
      <c r="D14" s="14"/>
      <c r="E14" s="13"/>
      <c r="F14" s="13"/>
      <c r="G14" s="13"/>
      <c r="H14" s="13"/>
      <c r="I14" s="13"/>
      <c r="J14" s="14"/>
      <c r="K14" s="13"/>
    </row>
    <row r="15" customFormat="false" ht="15" hidden="false" customHeight="false" outlineLevel="0" collapsed="false">
      <c r="A15" s="13"/>
      <c r="B15" s="13"/>
      <c r="C15" s="13"/>
      <c r="D15" s="14"/>
      <c r="E15" s="13"/>
      <c r="F15" s="13"/>
      <c r="G15" s="13"/>
      <c r="H15" s="13"/>
      <c r="I15" s="13"/>
      <c r="J15" s="14"/>
      <c r="K15" s="13"/>
    </row>
    <row r="16" customFormat="false" ht="15" hidden="false" customHeight="false" outlineLevel="0" collapsed="false">
      <c r="A16" s="13"/>
      <c r="B16" s="13"/>
      <c r="C16" s="13"/>
      <c r="D16" s="14"/>
      <c r="E16" s="13"/>
      <c r="F16" s="13"/>
      <c r="G16" s="13"/>
      <c r="H16" s="13"/>
      <c r="I16" s="13"/>
      <c r="J16" s="14"/>
      <c r="K16" s="13"/>
    </row>
    <row r="17" customFormat="false" ht="15" hidden="false" customHeight="false" outlineLevel="0" collapsed="false">
      <c r="A17" s="13"/>
      <c r="B17" s="13"/>
      <c r="C17" s="13"/>
      <c r="D17" s="14"/>
      <c r="E17" s="13"/>
      <c r="F17" s="13"/>
      <c r="G17" s="13"/>
      <c r="H17" s="13"/>
      <c r="I17" s="13"/>
      <c r="J17" s="14"/>
      <c r="K17" s="13"/>
    </row>
    <row r="18" customFormat="false" ht="15" hidden="false" customHeight="false" outlineLevel="0" collapsed="false">
      <c r="A18" s="13"/>
      <c r="B18" s="13"/>
      <c r="C18" s="13"/>
      <c r="D18" s="14"/>
      <c r="E18" s="13"/>
      <c r="F18" s="13"/>
      <c r="G18" s="13"/>
      <c r="H18" s="13"/>
      <c r="I18" s="13"/>
      <c r="J18" s="14"/>
      <c r="K18" s="13"/>
    </row>
    <row r="19" customFormat="false" ht="15" hidden="false" customHeight="false" outlineLevel="0" collapsed="false">
      <c r="A19" s="13"/>
      <c r="B19" s="13"/>
      <c r="C19" s="13"/>
      <c r="D19" s="14"/>
      <c r="E19" s="13"/>
      <c r="F19" s="13"/>
      <c r="G19" s="13"/>
      <c r="H19" s="13"/>
      <c r="I19" s="13"/>
      <c r="J19" s="14"/>
      <c r="K19" s="13"/>
    </row>
    <row r="20" customFormat="false" ht="15" hidden="false" customHeight="false" outlineLevel="0" collapsed="false">
      <c r="A20" s="13"/>
      <c r="B20" s="13"/>
      <c r="C20" s="13"/>
      <c r="D20" s="14"/>
      <c r="E20" s="13"/>
      <c r="F20" s="13"/>
      <c r="G20" s="13"/>
      <c r="H20" s="13"/>
      <c r="I20" s="13"/>
      <c r="J20" s="14"/>
      <c r="K20" s="13"/>
    </row>
    <row r="21" customFormat="false" ht="15" hidden="false" customHeight="false" outlineLevel="0" collapsed="false">
      <c r="A21" s="13"/>
      <c r="B21" s="13"/>
      <c r="C21" s="13"/>
      <c r="D21" s="14"/>
      <c r="E21" s="13"/>
      <c r="F21" s="13"/>
      <c r="G21" s="13"/>
      <c r="H21" s="13"/>
      <c r="I21" s="13"/>
      <c r="J21" s="14"/>
      <c r="K21" s="13"/>
    </row>
    <row r="22" customFormat="false" ht="15" hidden="false" customHeight="false" outlineLevel="0" collapsed="false">
      <c r="A22" s="13"/>
      <c r="B22" s="13"/>
      <c r="C22" s="13"/>
      <c r="D22" s="14"/>
      <c r="E22" s="13"/>
      <c r="F22" s="13"/>
      <c r="G22" s="13"/>
      <c r="H22" s="13"/>
      <c r="I22" s="13"/>
      <c r="J22" s="14"/>
      <c r="K22" s="13"/>
    </row>
    <row r="23" customFormat="false" ht="15" hidden="false" customHeight="false" outlineLevel="0" collapsed="false">
      <c r="A23" s="13"/>
      <c r="B23" s="13"/>
      <c r="C23" s="13"/>
      <c r="D23" s="14"/>
      <c r="E23" s="13"/>
      <c r="F23" s="13"/>
      <c r="G23" s="13"/>
      <c r="H23" s="13"/>
      <c r="I23" s="13"/>
      <c r="J23" s="14"/>
      <c r="K23" s="13"/>
    </row>
    <row r="24" customFormat="false" ht="15" hidden="false" customHeight="false" outlineLevel="0" collapsed="false">
      <c r="A24" s="13"/>
      <c r="B24" s="13"/>
      <c r="C24" s="13"/>
      <c r="D24" s="14"/>
      <c r="E24" s="13"/>
      <c r="F24" s="13"/>
      <c r="G24" s="13"/>
      <c r="H24" s="13"/>
      <c r="I24" s="13"/>
      <c r="J24" s="14"/>
      <c r="K24" s="13"/>
    </row>
    <row r="25" customFormat="false" ht="15" hidden="false" customHeight="false" outlineLevel="0" collapsed="false">
      <c r="A25" s="13"/>
      <c r="B25" s="13"/>
      <c r="C25" s="13"/>
      <c r="D25" s="14"/>
      <c r="E25" s="13"/>
      <c r="F25" s="13"/>
      <c r="G25" s="13"/>
      <c r="H25" s="13"/>
      <c r="I25" s="13"/>
      <c r="J25" s="14"/>
      <c r="K25" s="13"/>
    </row>
    <row r="26" customFormat="false" ht="15" hidden="false" customHeight="false" outlineLevel="0" collapsed="false">
      <c r="A26" s="13"/>
      <c r="B26" s="13"/>
      <c r="C26" s="13"/>
      <c r="D26" s="14"/>
      <c r="E26" s="13"/>
      <c r="F26" s="13"/>
      <c r="G26" s="13"/>
      <c r="H26" s="13"/>
      <c r="I26" s="13"/>
      <c r="J26" s="14"/>
      <c r="K26" s="13"/>
    </row>
    <row r="27" customFormat="false" ht="15" hidden="false" customHeight="false" outlineLevel="0" collapsed="false">
      <c r="A27" s="13"/>
      <c r="B27" s="13"/>
      <c r="C27" s="13"/>
      <c r="D27" s="14"/>
      <c r="E27" s="13"/>
      <c r="F27" s="13"/>
      <c r="G27" s="13"/>
      <c r="H27" s="13"/>
      <c r="I27" s="13"/>
      <c r="J27" s="14"/>
      <c r="K27" s="13"/>
    </row>
    <row r="28" customFormat="false" ht="15" hidden="false" customHeight="false" outlineLevel="0" collapsed="false">
      <c r="A28" s="13"/>
      <c r="B28" s="13"/>
      <c r="C28" s="13"/>
      <c r="D28" s="14"/>
      <c r="E28" s="13"/>
      <c r="F28" s="13"/>
      <c r="G28" s="13"/>
      <c r="H28" s="13"/>
      <c r="I28" s="13"/>
      <c r="J28" s="14"/>
      <c r="K28" s="13"/>
    </row>
    <row r="29" customFormat="false" ht="15" hidden="false" customHeight="false" outlineLevel="0" collapsed="false">
      <c r="A29" s="13"/>
      <c r="B29" s="13"/>
      <c r="C29" s="13"/>
      <c r="D29" s="14"/>
      <c r="E29" s="13"/>
      <c r="F29" s="13"/>
      <c r="G29" s="13"/>
      <c r="H29" s="13"/>
      <c r="I29" s="13"/>
      <c r="J29" s="14"/>
      <c r="K29" s="13"/>
    </row>
    <row r="30" customFormat="false" ht="15" hidden="false" customHeight="false" outlineLevel="0" collapsed="false">
      <c r="A30" s="13"/>
      <c r="B30" s="13"/>
      <c r="C30" s="13"/>
      <c r="D30" s="14"/>
      <c r="E30" s="13"/>
      <c r="F30" s="13"/>
      <c r="G30" s="13"/>
      <c r="H30" s="13"/>
      <c r="I30" s="13"/>
      <c r="J30" s="14"/>
      <c r="K30" s="13"/>
    </row>
    <row r="31" customFormat="false" ht="15" hidden="false" customHeight="false" outlineLevel="0" collapsed="false">
      <c r="A31" s="13"/>
      <c r="B31" s="13"/>
      <c r="C31" s="13"/>
      <c r="D31" s="14"/>
      <c r="E31" s="13"/>
      <c r="F31" s="13"/>
      <c r="G31" s="13"/>
      <c r="H31" s="13"/>
      <c r="I31" s="13"/>
      <c r="J31" s="14"/>
      <c r="K31" s="13"/>
    </row>
    <row r="32" customFormat="false" ht="15" hidden="false" customHeight="false" outlineLevel="0" collapsed="false">
      <c r="A32" s="13"/>
      <c r="B32" s="13"/>
      <c r="C32" s="13"/>
      <c r="D32" s="14"/>
      <c r="E32" s="13"/>
      <c r="F32" s="13"/>
      <c r="G32" s="13"/>
      <c r="H32" s="13"/>
      <c r="I32" s="13"/>
      <c r="J32" s="14"/>
      <c r="K32" s="13"/>
    </row>
    <row r="33" customFormat="false" ht="15" hidden="false" customHeight="false" outlineLevel="0" collapsed="false">
      <c r="A33" s="13"/>
      <c r="B33" s="13"/>
      <c r="C33" s="13"/>
      <c r="D33" s="14"/>
      <c r="E33" s="13"/>
      <c r="F33" s="13"/>
      <c r="G33" s="13"/>
      <c r="H33" s="13"/>
      <c r="I33" s="13"/>
      <c r="J33" s="14"/>
      <c r="K33" s="13"/>
    </row>
    <row r="34" customFormat="false" ht="15" hidden="false" customHeight="false" outlineLevel="0" collapsed="false">
      <c r="A34" s="13"/>
      <c r="B34" s="13"/>
      <c r="C34" s="13"/>
      <c r="D34" s="14"/>
      <c r="E34" s="13"/>
      <c r="F34" s="13"/>
      <c r="G34" s="13"/>
      <c r="H34" s="13"/>
      <c r="I34" s="13"/>
      <c r="J34" s="14"/>
      <c r="K34" s="13"/>
    </row>
    <row r="35" customFormat="false" ht="15" hidden="false" customHeight="false" outlineLevel="0" collapsed="false">
      <c r="A35" s="13"/>
      <c r="B35" s="13"/>
      <c r="C35" s="13"/>
      <c r="D35" s="14"/>
      <c r="E35" s="13"/>
      <c r="F35" s="13"/>
      <c r="G35" s="13"/>
      <c r="H35" s="13"/>
      <c r="I35" s="13"/>
      <c r="J35" s="14"/>
      <c r="K35" s="13"/>
    </row>
    <row r="36" customFormat="false" ht="15" hidden="false" customHeight="false" outlineLevel="0" collapsed="false">
      <c r="A36" s="13"/>
      <c r="B36" s="13"/>
      <c r="C36" s="13"/>
      <c r="D36" s="14"/>
      <c r="E36" s="13"/>
      <c r="F36" s="13"/>
      <c r="G36" s="13"/>
      <c r="H36" s="13"/>
      <c r="I36" s="13"/>
      <c r="J36" s="14"/>
      <c r="K36" s="13"/>
    </row>
    <row r="37" customFormat="false" ht="15" hidden="false" customHeight="false" outlineLevel="0" collapsed="false">
      <c r="A37" s="13"/>
      <c r="B37" s="13"/>
      <c r="C37" s="13"/>
      <c r="D37" s="14"/>
      <c r="E37" s="13"/>
      <c r="F37" s="13"/>
      <c r="G37" s="13"/>
      <c r="H37" s="13"/>
      <c r="I37" s="13"/>
      <c r="J37" s="14"/>
      <c r="K37" s="13"/>
    </row>
    <row r="38" customFormat="false" ht="15" hidden="false" customHeight="false" outlineLevel="0" collapsed="false">
      <c r="A38" s="13"/>
      <c r="B38" s="13"/>
      <c r="C38" s="13"/>
      <c r="D38" s="14"/>
      <c r="E38" s="13"/>
      <c r="F38" s="13"/>
      <c r="G38" s="13"/>
      <c r="H38" s="13"/>
      <c r="I38" s="13"/>
      <c r="J38" s="14"/>
      <c r="K38" s="13"/>
    </row>
    <row r="39" customFormat="false" ht="15" hidden="false" customHeight="false" outlineLevel="0" collapsed="false">
      <c r="A39" s="13"/>
      <c r="B39" s="13"/>
      <c r="C39" s="13"/>
      <c r="D39" s="14"/>
      <c r="E39" s="13"/>
      <c r="F39" s="13"/>
      <c r="G39" s="13"/>
      <c r="H39" s="13"/>
      <c r="I39" s="13"/>
      <c r="J39" s="14"/>
      <c r="K39" s="13"/>
    </row>
    <row r="40" customFormat="false" ht="15" hidden="false" customHeight="false" outlineLevel="0" collapsed="false">
      <c r="A40" s="13"/>
      <c r="B40" s="13"/>
      <c r="C40" s="13"/>
      <c r="D40" s="14"/>
      <c r="E40" s="13"/>
      <c r="F40" s="13"/>
      <c r="G40" s="13"/>
      <c r="H40" s="13"/>
      <c r="I40" s="13"/>
      <c r="J40" s="14"/>
      <c r="K40" s="13"/>
    </row>
  </sheetData>
  <dataValidations count="2">
    <dataValidation allowBlank="true" error="Pilih ikon dari daftar." errorStyle="warning" errorTitle="Ikon tidak dikenal" operator="between" showDropDown="false" showErrorMessage="true" showInputMessage="false" sqref="E2:E40" type="list">
      <formula1>"gunung,pohon,patroli,resor,api,perisai,wisata,aset,peta,grafik,data,dokumen,folder,aplikasi,presentasi"</formula1>
      <formula2>0</formula2>
    </dataValidation>
    <dataValidation allowBlank="true" error="Isi tidak untuk menyembunyikan, atau kosongkan." errorStyle="warning" errorTitle="Isi ya atau tidak" operator="between" showDropDown="false" showErrorMessage="true" showInputMessage="false" sqref="K2:K40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false"/>
  </sheetPr>
  <dimension ref="A1:J400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11"/>
    <col collapsed="false" customWidth="true" hidden="false" outlineLevel="0" max="5" min="5" style="0" width="60"/>
    <col collapsed="false" customWidth="true" hidden="false" outlineLevel="0" max="6" min="6" style="0" width="50"/>
    <col collapsed="false" customWidth="true" hidden="false" outlineLevel="0" max="7" min="7" style="0" width="22"/>
    <col collapsed="false" customWidth="true" hidden="false" outlineLevel="0" max="8" min="8" style="0" width="30"/>
    <col collapsed="false" customWidth="true" hidden="false" outlineLevel="0" max="10" min="9" style="0" width="8"/>
  </cols>
  <sheetData>
    <row r="1" customFormat="false" ht="21.75" hidden="false" customHeight="true" outlineLevel="0" collapsed="false">
      <c r="A1" s="11" t="s">
        <v>166</v>
      </c>
      <c r="B1" s="12" t="s">
        <v>167</v>
      </c>
      <c r="C1" s="11" t="s">
        <v>54</v>
      </c>
      <c r="D1" s="12" t="s">
        <v>27</v>
      </c>
      <c r="E1" s="11" t="s">
        <v>168</v>
      </c>
      <c r="F1" s="12" t="s">
        <v>169</v>
      </c>
      <c r="G1" s="12" t="s">
        <v>91</v>
      </c>
      <c r="H1" s="12" t="s">
        <v>170</v>
      </c>
      <c r="I1" s="12" t="s">
        <v>171</v>
      </c>
      <c r="J1" s="12" t="s">
        <v>95</v>
      </c>
    </row>
    <row r="2" customFormat="false" ht="23.85" hidden="false" customHeight="false" outlineLevel="0" collapsed="false">
      <c r="A2" s="13" t="s">
        <v>96</v>
      </c>
      <c r="B2" s="13" t="s">
        <v>172</v>
      </c>
      <c r="C2" s="13" t="s">
        <v>173</v>
      </c>
      <c r="D2" s="13" t="s">
        <v>44</v>
      </c>
      <c r="E2" s="13" t="s">
        <v>174</v>
      </c>
      <c r="F2" s="14" t="s">
        <v>175</v>
      </c>
      <c r="G2" s="13"/>
      <c r="H2" s="13"/>
      <c r="I2" s="13" t="s">
        <v>105</v>
      </c>
      <c r="J2" s="13" t="s">
        <v>105</v>
      </c>
    </row>
    <row r="3" customFormat="false" ht="15" hidden="false" customHeight="false" outlineLevel="0" collapsed="false">
      <c r="A3" s="13" t="s">
        <v>96</v>
      </c>
      <c r="B3" s="13" t="s">
        <v>172</v>
      </c>
      <c r="C3" s="13" t="s">
        <v>176</v>
      </c>
      <c r="D3" s="13" t="s">
        <v>42</v>
      </c>
      <c r="E3" s="13" t="s">
        <v>177</v>
      </c>
      <c r="F3" s="14" t="s">
        <v>178</v>
      </c>
      <c r="G3" s="13"/>
      <c r="H3" s="13"/>
      <c r="I3" s="13"/>
      <c r="J3" s="13" t="s">
        <v>105</v>
      </c>
    </row>
    <row r="4" customFormat="false" ht="15" hidden="false" customHeight="false" outlineLevel="0" collapsed="false">
      <c r="A4" s="13" t="s">
        <v>96</v>
      </c>
      <c r="B4" s="13" t="s">
        <v>172</v>
      </c>
      <c r="C4" s="13" t="s">
        <v>179</v>
      </c>
      <c r="D4" s="13" t="s">
        <v>37</v>
      </c>
      <c r="E4" s="13" t="s">
        <v>180</v>
      </c>
      <c r="F4" s="14" t="s">
        <v>181</v>
      </c>
      <c r="G4" s="13"/>
      <c r="H4" s="13"/>
      <c r="I4" s="13"/>
      <c r="J4" s="13" t="s">
        <v>105</v>
      </c>
    </row>
    <row r="5" customFormat="false" ht="15" hidden="false" customHeight="false" outlineLevel="0" collapsed="false">
      <c r="A5" s="13" t="s">
        <v>96</v>
      </c>
      <c r="B5" s="13" t="s">
        <v>182</v>
      </c>
      <c r="C5" s="13" t="s">
        <v>183</v>
      </c>
      <c r="D5" s="13" t="s">
        <v>37</v>
      </c>
      <c r="E5" s="13" t="s">
        <v>184</v>
      </c>
      <c r="F5" s="14" t="s">
        <v>185</v>
      </c>
      <c r="G5" s="13"/>
      <c r="H5" s="13"/>
      <c r="I5" s="13"/>
      <c r="J5" s="13" t="s">
        <v>105</v>
      </c>
    </row>
    <row r="6" customFormat="false" ht="15" hidden="false" customHeight="false" outlineLevel="0" collapsed="false">
      <c r="A6" s="13" t="s">
        <v>96</v>
      </c>
      <c r="B6" s="13" t="s">
        <v>182</v>
      </c>
      <c r="C6" s="13" t="s">
        <v>186</v>
      </c>
      <c r="D6" s="13" t="s">
        <v>37</v>
      </c>
      <c r="E6" s="13" t="s">
        <v>187</v>
      </c>
      <c r="F6" s="14" t="s">
        <v>188</v>
      </c>
      <c r="G6" s="13"/>
      <c r="H6" s="13"/>
      <c r="I6" s="13"/>
      <c r="J6" s="13" t="s">
        <v>105</v>
      </c>
    </row>
    <row r="7" customFormat="false" ht="15" hidden="false" customHeight="false" outlineLevel="0" collapsed="false">
      <c r="A7" s="13" t="s">
        <v>96</v>
      </c>
      <c r="B7" s="13" t="s">
        <v>182</v>
      </c>
      <c r="C7" s="13" t="s">
        <v>189</v>
      </c>
      <c r="D7" s="13" t="s">
        <v>37</v>
      </c>
      <c r="E7" s="13" t="s">
        <v>190</v>
      </c>
      <c r="F7" s="14" t="s">
        <v>191</v>
      </c>
      <c r="G7" s="13"/>
      <c r="H7" s="13"/>
      <c r="I7" s="13"/>
      <c r="J7" s="13" t="s">
        <v>105</v>
      </c>
    </row>
    <row r="8" customFormat="false" ht="15" hidden="false" customHeight="false" outlineLevel="0" collapsed="false">
      <c r="A8" s="13" t="s">
        <v>96</v>
      </c>
      <c r="B8" s="13" t="s">
        <v>192</v>
      </c>
      <c r="C8" s="13" t="s">
        <v>193</v>
      </c>
      <c r="D8" s="13" t="s">
        <v>39</v>
      </c>
      <c r="E8" s="13" t="s">
        <v>194</v>
      </c>
      <c r="F8" s="14" t="s">
        <v>195</v>
      </c>
      <c r="G8" s="13" t="s">
        <v>196</v>
      </c>
      <c r="H8" s="13"/>
      <c r="I8" s="13"/>
      <c r="J8" s="13" t="s">
        <v>105</v>
      </c>
    </row>
    <row r="9" customFormat="false" ht="15" hidden="false" customHeight="false" outlineLevel="0" collapsed="false">
      <c r="A9" s="13" t="s">
        <v>96</v>
      </c>
      <c r="B9" s="13" t="s">
        <v>192</v>
      </c>
      <c r="C9" s="13" t="s">
        <v>197</v>
      </c>
      <c r="D9" s="13" t="s">
        <v>39</v>
      </c>
      <c r="E9" s="13" t="s">
        <v>198</v>
      </c>
      <c r="F9" s="14" t="s">
        <v>199</v>
      </c>
      <c r="G9" s="13"/>
      <c r="H9" s="13"/>
      <c r="I9" s="13"/>
      <c r="J9" s="13" t="s">
        <v>105</v>
      </c>
    </row>
    <row r="10" customFormat="false" ht="15" hidden="false" customHeight="false" outlineLevel="0" collapsed="false">
      <c r="A10" s="13" t="s">
        <v>96</v>
      </c>
      <c r="B10" s="13" t="s">
        <v>192</v>
      </c>
      <c r="C10" s="13" t="s">
        <v>200</v>
      </c>
      <c r="D10" s="13" t="s">
        <v>37</v>
      </c>
      <c r="E10" s="13" t="s">
        <v>201</v>
      </c>
      <c r="F10" s="14" t="s">
        <v>202</v>
      </c>
      <c r="G10" s="13"/>
      <c r="H10" s="13"/>
      <c r="I10" s="13"/>
      <c r="J10" s="13" t="s">
        <v>105</v>
      </c>
    </row>
    <row r="11" customFormat="false" ht="15" hidden="false" customHeight="false" outlineLevel="0" collapsed="false">
      <c r="A11" s="13" t="s">
        <v>96</v>
      </c>
      <c r="B11" s="13" t="s">
        <v>192</v>
      </c>
      <c r="C11" s="13" t="s">
        <v>203</v>
      </c>
      <c r="D11" s="13" t="s">
        <v>37</v>
      </c>
      <c r="E11" s="13" t="s">
        <v>204</v>
      </c>
      <c r="F11" s="14" t="s">
        <v>205</v>
      </c>
      <c r="G11" s="13"/>
      <c r="H11" s="13"/>
      <c r="I11" s="13"/>
      <c r="J11" s="13" t="s">
        <v>105</v>
      </c>
    </row>
    <row r="12" customFormat="false" ht="15" hidden="false" customHeight="false" outlineLevel="0" collapsed="false">
      <c r="A12" s="13" t="s">
        <v>96</v>
      </c>
      <c r="B12" s="13" t="s">
        <v>206</v>
      </c>
      <c r="C12" s="13" t="s">
        <v>207</v>
      </c>
      <c r="D12" s="13" t="s">
        <v>33</v>
      </c>
      <c r="E12" s="13" t="s">
        <v>208</v>
      </c>
      <c r="F12" s="14" t="s">
        <v>209</v>
      </c>
      <c r="G12" s="13"/>
      <c r="H12" s="13"/>
      <c r="I12" s="13"/>
      <c r="J12" s="13" t="s">
        <v>105</v>
      </c>
    </row>
    <row r="13" customFormat="false" ht="15" hidden="false" customHeight="false" outlineLevel="0" collapsed="false">
      <c r="A13" s="13" t="s">
        <v>96</v>
      </c>
      <c r="B13" s="13" t="s">
        <v>206</v>
      </c>
      <c r="C13" s="13" t="s">
        <v>210</v>
      </c>
      <c r="D13" s="13" t="s">
        <v>33</v>
      </c>
      <c r="E13" s="13" t="s">
        <v>211</v>
      </c>
      <c r="F13" s="14" t="s">
        <v>212</v>
      </c>
      <c r="G13" s="13"/>
      <c r="H13" s="13"/>
      <c r="I13" s="13"/>
      <c r="J13" s="13" t="s">
        <v>105</v>
      </c>
    </row>
    <row r="14" customFormat="false" ht="35.05" hidden="false" customHeight="false" outlineLevel="0" collapsed="false">
      <c r="A14" s="13" t="s">
        <v>106</v>
      </c>
      <c r="B14" s="13" t="s">
        <v>213</v>
      </c>
      <c r="C14" s="13" t="s">
        <v>214</v>
      </c>
      <c r="D14" s="13" t="s">
        <v>30</v>
      </c>
      <c r="E14" s="13" t="s">
        <v>215</v>
      </c>
      <c r="F14" s="14" t="s">
        <v>216</v>
      </c>
      <c r="G14" s="13"/>
      <c r="H14" s="13" t="s">
        <v>86</v>
      </c>
      <c r="I14" s="13" t="s">
        <v>105</v>
      </c>
      <c r="J14" s="13" t="s">
        <v>105</v>
      </c>
    </row>
    <row r="15" customFormat="false" ht="35.05" hidden="false" customHeight="false" outlineLevel="0" collapsed="false">
      <c r="A15" s="13" t="s">
        <v>106</v>
      </c>
      <c r="B15" s="13" t="s">
        <v>213</v>
      </c>
      <c r="C15" s="13" t="s">
        <v>217</v>
      </c>
      <c r="D15" s="13" t="s">
        <v>42</v>
      </c>
      <c r="E15" s="13" t="s">
        <v>218</v>
      </c>
      <c r="F15" s="14" t="s">
        <v>219</v>
      </c>
      <c r="G15" s="13"/>
      <c r="H15" s="13" t="s">
        <v>86</v>
      </c>
      <c r="I15" s="13"/>
      <c r="J15" s="13" t="s">
        <v>105</v>
      </c>
    </row>
    <row r="16" customFormat="false" ht="23.85" hidden="false" customHeight="false" outlineLevel="0" collapsed="false">
      <c r="A16" s="13" t="s">
        <v>106</v>
      </c>
      <c r="B16" s="13" t="s">
        <v>220</v>
      </c>
      <c r="C16" s="13" t="s">
        <v>221</v>
      </c>
      <c r="D16" s="13" t="s">
        <v>30</v>
      </c>
      <c r="E16" s="13" t="s">
        <v>222</v>
      </c>
      <c r="F16" s="14" t="s">
        <v>223</v>
      </c>
      <c r="G16" s="13"/>
      <c r="H16" s="13" t="s">
        <v>86</v>
      </c>
      <c r="I16" s="13"/>
      <c r="J16" s="13" t="s">
        <v>105</v>
      </c>
    </row>
    <row r="17" customFormat="false" ht="23.85" hidden="false" customHeight="false" outlineLevel="0" collapsed="false">
      <c r="A17" s="13" t="s">
        <v>106</v>
      </c>
      <c r="B17" s="13" t="s">
        <v>220</v>
      </c>
      <c r="C17" s="13" t="s">
        <v>224</v>
      </c>
      <c r="D17" s="13" t="s">
        <v>30</v>
      </c>
      <c r="E17" s="13" t="s">
        <v>225</v>
      </c>
      <c r="F17" s="14" t="s">
        <v>226</v>
      </c>
      <c r="G17" s="13"/>
      <c r="H17" s="13" t="s">
        <v>86</v>
      </c>
      <c r="I17" s="13"/>
      <c r="J17" s="13" t="s">
        <v>105</v>
      </c>
    </row>
    <row r="18" customFormat="false" ht="23.85" hidden="false" customHeight="false" outlineLevel="0" collapsed="false">
      <c r="A18" s="13" t="s">
        <v>106</v>
      </c>
      <c r="B18" s="13" t="s">
        <v>220</v>
      </c>
      <c r="C18" s="13" t="s">
        <v>227</v>
      </c>
      <c r="D18" s="13" t="s">
        <v>30</v>
      </c>
      <c r="E18" s="13" t="s">
        <v>228</v>
      </c>
      <c r="F18" s="14" t="s">
        <v>229</v>
      </c>
      <c r="G18" s="13"/>
      <c r="H18" s="13" t="s">
        <v>86</v>
      </c>
      <c r="I18" s="13"/>
      <c r="J18" s="13" t="s">
        <v>105</v>
      </c>
    </row>
    <row r="19" customFormat="false" ht="23.85" hidden="false" customHeight="false" outlineLevel="0" collapsed="false">
      <c r="A19" s="13" t="s">
        <v>106</v>
      </c>
      <c r="B19" s="13" t="s">
        <v>230</v>
      </c>
      <c r="C19" s="13" t="s">
        <v>231</v>
      </c>
      <c r="D19" s="13" t="s">
        <v>30</v>
      </c>
      <c r="E19" s="13" t="s">
        <v>232</v>
      </c>
      <c r="F19" s="14" t="s">
        <v>233</v>
      </c>
      <c r="G19" s="13"/>
      <c r="H19" s="13" t="s">
        <v>86</v>
      </c>
      <c r="I19" s="13"/>
      <c r="J19" s="13" t="s">
        <v>105</v>
      </c>
    </row>
    <row r="20" customFormat="false" ht="23.85" hidden="false" customHeight="false" outlineLevel="0" collapsed="false">
      <c r="A20" s="13" t="s">
        <v>106</v>
      </c>
      <c r="B20" s="13" t="s">
        <v>230</v>
      </c>
      <c r="C20" s="13" t="s">
        <v>234</v>
      </c>
      <c r="D20" s="13" t="s">
        <v>30</v>
      </c>
      <c r="E20" s="13" t="s">
        <v>235</v>
      </c>
      <c r="F20" s="14" t="s">
        <v>236</v>
      </c>
      <c r="G20" s="13"/>
      <c r="H20" s="13" t="s">
        <v>86</v>
      </c>
      <c r="I20" s="13"/>
      <c r="J20" s="13" t="s">
        <v>105</v>
      </c>
    </row>
    <row r="21" customFormat="false" ht="23.85" hidden="false" customHeight="false" outlineLevel="0" collapsed="false">
      <c r="A21" s="13" t="s">
        <v>106</v>
      </c>
      <c r="B21" s="13" t="s">
        <v>230</v>
      </c>
      <c r="C21" s="13" t="s">
        <v>237</v>
      </c>
      <c r="D21" s="13" t="s">
        <v>30</v>
      </c>
      <c r="E21" s="13" t="s">
        <v>238</v>
      </c>
      <c r="F21" s="14" t="s">
        <v>239</v>
      </c>
      <c r="G21" s="13"/>
      <c r="H21" s="13" t="s">
        <v>86</v>
      </c>
      <c r="I21" s="13"/>
      <c r="J21" s="13" t="s">
        <v>105</v>
      </c>
    </row>
    <row r="22" customFormat="false" ht="23.85" hidden="false" customHeight="false" outlineLevel="0" collapsed="false">
      <c r="A22" s="13" t="s">
        <v>106</v>
      </c>
      <c r="B22" s="13" t="s">
        <v>230</v>
      </c>
      <c r="C22" s="13" t="s">
        <v>240</v>
      </c>
      <c r="D22" s="13" t="s">
        <v>30</v>
      </c>
      <c r="E22" s="13" t="s">
        <v>241</v>
      </c>
      <c r="F22" s="14" t="s">
        <v>242</v>
      </c>
      <c r="G22" s="13"/>
      <c r="H22" s="13" t="s">
        <v>86</v>
      </c>
      <c r="I22" s="13"/>
      <c r="J22" s="13" t="s">
        <v>105</v>
      </c>
    </row>
    <row r="23" customFormat="false" ht="23.85" hidden="false" customHeight="false" outlineLevel="0" collapsed="false">
      <c r="A23" s="13" t="s">
        <v>113</v>
      </c>
      <c r="B23" s="13" t="s">
        <v>243</v>
      </c>
      <c r="C23" s="13" t="s">
        <v>244</v>
      </c>
      <c r="D23" s="13" t="s">
        <v>30</v>
      </c>
      <c r="E23" s="13" t="s">
        <v>245</v>
      </c>
      <c r="F23" s="14" t="s">
        <v>246</v>
      </c>
      <c r="G23" s="13"/>
      <c r="H23" s="13" t="s">
        <v>247</v>
      </c>
      <c r="I23" s="13" t="s">
        <v>105</v>
      </c>
      <c r="J23" s="13" t="s">
        <v>105</v>
      </c>
    </row>
    <row r="24" customFormat="false" ht="35.05" hidden="false" customHeight="false" outlineLevel="0" collapsed="false">
      <c r="A24" s="13" t="s">
        <v>113</v>
      </c>
      <c r="B24" s="13" t="s">
        <v>243</v>
      </c>
      <c r="C24" s="13" t="s">
        <v>248</v>
      </c>
      <c r="D24" s="13" t="s">
        <v>30</v>
      </c>
      <c r="E24" s="13" t="s">
        <v>249</v>
      </c>
      <c r="F24" s="14" t="s">
        <v>250</v>
      </c>
      <c r="G24" s="13"/>
      <c r="H24" s="13" t="s">
        <v>251</v>
      </c>
      <c r="I24" s="13"/>
      <c r="J24" s="13" t="s">
        <v>105</v>
      </c>
    </row>
    <row r="25" customFormat="false" ht="23.85" hidden="false" customHeight="false" outlineLevel="0" collapsed="false">
      <c r="A25" s="13" t="s">
        <v>113</v>
      </c>
      <c r="B25" s="13" t="s">
        <v>243</v>
      </c>
      <c r="C25" s="13" t="s">
        <v>252</v>
      </c>
      <c r="D25" s="13" t="s">
        <v>30</v>
      </c>
      <c r="E25" s="13" t="s">
        <v>253</v>
      </c>
      <c r="F25" s="14" t="s">
        <v>254</v>
      </c>
      <c r="G25" s="13"/>
      <c r="H25" s="13" t="s">
        <v>255</v>
      </c>
      <c r="I25" s="13"/>
      <c r="J25" s="13" t="s">
        <v>105</v>
      </c>
    </row>
    <row r="26" customFormat="false" ht="23.85" hidden="false" customHeight="false" outlineLevel="0" collapsed="false">
      <c r="A26" s="13" t="s">
        <v>113</v>
      </c>
      <c r="B26" s="13" t="s">
        <v>256</v>
      </c>
      <c r="C26" s="13" t="s">
        <v>257</v>
      </c>
      <c r="D26" s="13" t="s">
        <v>35</v>
      </c>
      <c r="E26" s="13" t="s">
        <v>258</v>
      </c>
      <c r="F26" s="14" t="s">
        <v>259</v>
      </c>
      <c r="G26" s="13"/>
      <c r="H26" s="13"/>
      <c r="I26" s="13"/>
      <c r="J26" s="13" t="s">
        <v>105</v>
      </c>
    </row>
    <row r="27" customFormat="false" ht="15" hidden="false" customHeight="false" outlineLevel="0" collapsed="false">
      <c r="A27" s="13" t="s">
        <v>113</v>
      </c>
      <c r="B27" s="13" t="s">
        <v>256</v>
      </c>
      <c r="C27" s="13" t="s">
        <v>260</v>
      </c>
      <c r="D27" s="13" t="s">
        <v>35</v>
      </c>
      <c r="E27" s="13" t="s">
        <v>261</v>
      </c>
      <c r="F27" s="14" t="s">
        <v>262</v>
      </c>
      <c r="G27" s="13"/>
      <c r="H27" s="13"/>
      <c r="I27" s="13"/>
      <c r="J27" s="13" t="s">
        <v>105</v>
      </c>
    </row>
    <row r="28" customFormat="false" ht="23.85" hidden="false" customHeight="false" outlineLevel="0" collapsed="false">
      <c r="A28" s="13" t="s">
        <v>113</v>
      </c>
      <c r="B28" s="13" t="s">
        <v>256</v>
      </c>
      <c r="C28" s="13" t="s">
        <v>263</v>
      </c>
      <c r="D28" s="13" t="s">
        <v>35</v>
      </c>
      <c r="E28" s="13" t="s">
        <v>264</v>
      </c>
      <c r="F28" s="14" t="s">
        <v>265</v>
      </c>
      <c r="G28" s="13"/>
      <c r="H28" s="13"/>
      <c r="I28" s="13"/>
      <c r="J28" s="13" t="s">
        <v>105</v>
      </c>
    </row>
    <row r="29" customFormat="false" ht="15" hidden="false" customHeight="false" outlineLevel="0" collapsed="false">
      <c r="A29" s="13" t="s">
        <v>113</v>
      </c>
      <c r="B29" s="13" t="s">
        <v>256</v>
      </c>
      <c r="C29" s="13" t="s">
        <v>266</v>
      </c>
      <c r="D29" s="13" t="s">
        <v>35</v>
      </c>
      <c r="E29" s="13" t="s">
        <v>267</v>
      </c>
      <c r="F29" s="14" t="s">
        <v>268</v>
      </c>
      <c r="G29" s="13"/>
      <c r="H29" s="13"/>
      <c r="I29" s="13"/>
      <c r="J29" s="13" t="s">
        <v>105</v>
      </c>
    </row>
    <row r="30" customFormat="false" ht="15" hidden="false" customHeight="false" outlineLevel="0" collapsed="false">
      <c r="A30" s="13" t="s">
        <v>113</v>
      </c>
      <c r="B30" s="13" t="s">
        <v>256</v>
      </c>
      <c r="C30" s="13" t="s">
        <v>269</v>
      </c>
      <c r="D30" s="13" t="s">
        <v>35</v>
      </c>
      <c r="E30" s="13" t="s">
        <v>270</v>
      </c>
      <c r="F30" s="14" t="s">
        <v>271</v>
      </c>
      <c r="G30" s="13"/>
      <c r="H30" s="13"/>
      <c r="I30" s="13"/>
      <c r="J30" s="13" t="s">
        <v>105</v>
      </c>
    </row>
    <row r="31" customFormat="false" ht="15" hidden="false" customHeight="false" outlineLevel="0" collapsed="false">
      <c r="A31" s="13" t="s">
        <v>113</v>
      </c>
      <c r="B31" s="13" t="s">
        <v>256</v>
      </c>
      <c r="C31" s="13" t="s">
        <v>272</v>
      </c>
      <c r="D31" s="13" t="s">
        <v>35</v>
      </c>
      <c r="E31" s="13" t="s">
        <v>273</v>
      </c>
      <c r="F31" s="14" t="s">
        <v>274</v>
      </c>
      <c r="G31" s="13"/>
      <c r="H31" s="13"/>
      <c r="I31" s="13"/>
      <c r="J31" s="13" t="s">
        <v>105</v>
      </c>
    </row>
    <row r="32" customFormat="false" ht="23.85" hidden="false" customHeight="false" outlineLevel="0" collapsed="false">
      <c r="A32" s="13" t="s">
        <v>113</v>
      </c>
      <c r="B32" s="13" t="s">
        <v>256</v>
      </c>
      <c r="C32" s="13" t="s">
        <v>275</v>
      </c>
      <c r="D32" s="13" t="s">
        <v>35</v>
      </c>
      <c r="E32" s="13" t="s">
        <v>276</v>
      </c>
      <c r="F32" s="14" t="s">
        <v>277</v>
      </c>
      <c r="G32" s="13"/>
      <c r="H32" s="13"/>
      <c r="I32" s="13"/>
      <c r="J32" s="13" t="s">
        <v>105</v>
      </c>
    </row>
    <row r="33" customFormat="false" ht="15" hidden="false" customHeight="false" outlineLevel="0" collapsed="false">
      <c r="A33" s="13" t="s">
        <v>113</v>
      </c>
      <c r="B33" s="13" t="s">
        <v>256</v>
      </c>
      <c r="C33" s="13" t="s">
        <v>278</v>
      </c>
      <c r="D33" s="13" t="s">
        <v>35</v>
      </c>
      <c r="E33" s="13" t="s">
        <v>279</v>
      </c>
      <c r="F33" s="14" t="s">
        <v>280</v>
      </c>
      <c r="G33" s="13"/>
      <c r="H33" s="13"/>
      <c r="I33" s="13"/>
      <c r="J33" s="13" t="s">
        <v>105</v>
      </c>
    </row>
    <row r="34" customFormat="false" ht="15" hidden="false" customHeight="false" outlineLevel="0" collapsed="false">
      <c r="A34" s="13" t="s">
        <v>113</v>
      </c>
      <c r="B34" s="13" t="s">
        <v>256</v>
      </c>
      <c r="C34" s="13" t="s">
        <v>281</v>
      </c>
      <c r="D34" s="13" t="s">
        <v>35</v>
      </c>
      <c r="E34" s="13" t="s">
        <v>282</v>
      </c>
      <c r="F34" s="14" t="s">
        <v>283</v>
      </c>
      <c r="G34" s="13"/>
      <c r="H34" s="13"/>
      <c r="I34" s="13"/>
      <c r="J34" s="13" t="s">
        <v>105</v>
      </c>
    </row>
    <row r="35" customFormat="false" ht="15" hidden="false" customHeight="false" outlineLevel="0" collapsed="false">
      <c r="A35" s="13" t="s">
        <v>113</v>
      </c>
      <c r="B35" s="13" t="s">
        <v>284</v>
      </c>
      <c r="C35" s="13" t="s">
        <v>285</v>
      </c>
      <c r="D35" s="13" t="s">
        <v>33</v>
      </c>
      <c r="E35" s="13" t="s">
        <v>286</v>
      </c>
      <c r="F35" s="14" t="s">
        <v>287</v>
      </c>
      <c r="G35" s="13"/>
      <c r="H35" s="13"/>
      <c r="I35" s="13"/>
      <c r="J35" s="13" t="s">
        <v>105</v>
      </c>
    </row>
    <row r="36" customFormat="false" ht="15" hidden="false" customHeight="false" outlineLevel="0" collapsed="false">
      <c r="A36" s="13" t="s">
        <v>113</v>
      </c>
      <c r="B36" s="13" t="s">
        <v>284</v>
      </c>
      <c r="C36" s="13" t="s">
        <v>288</v>
      </c>
      <c r="D36" s="13" t="s">
        <v>39</v>
      </c>
      <c r="E36" s="13" t="s">
        <v>289</v>
      </c>
      <c r="F36" s="14" t="s">
        <v>290</v>
      </c>
      <c r="G36" s="13"/>
      <c r="H36" s="13"/>
      <c r="I36" s="13"/>
      <c r="J36" s="13" t="s">
        <v>105</v>
      </c>
    </row>
    <row r="37" customFormat="false" ht="23.85" hidden="false" customHeight="false" outlineLevel="0" collapsed="false">
      <c r="A37" s="13" t="s">
        <v>123</v>
      </c>
      <c r="B37" s="13" t="s">
        <v>243</v>
      </c>
      <c r="C37" s="13" t="s">
        <v>291</v>
      </c>
      <c r="D37" s="13" t="s">
        <v>30</v>
      </c>
      <c r="E37" s="13" t="s">
        <v>292</v>
      </c>
      <c r="F37" s="14" t="s">
        <v>293</v>
      </c>
      <c r="G37" s="13"/>
      <c r="H37" s="13" t="s">
        <v>294</v>
      </c>
      <c r="I37" s="13" t="s">
        <v>105</v>
      </c>
      <c r="J37" s="13" t="s">
        <v>105</v>
      </c>
    </row>
    <row r="38" customFormat="false" ht="23.85" hidden="false" customHeight="false" outlineLevel="0" collapsed="false">
      <c r="A38" s="13" t="s">
        <v>123</v>
      </c>
      <c r="B38" s="13" t="s">
        <v>243</v>
      </c>
      <c r="C38" s="13" t="s">
        <v>295</v>
      </c>
      <c r="D38" s="13" t="s">
        <v>30</v>
      </c>
      <c r="E38" s="13" t="s">
        <v>296</v>
      </c>
      <c r="F38" s="14" t="s">
        <v>297</v>
      </c>
      <c r="G38" s="13"/>
      <c r="H38" s="13" t="s">
        <v>294</v>
      </c>
      <c r="I38" s="13"/>
      <c r="J38" s="13" t="s">
        <v>105</v>
      </c>
    </row>
    <row r="39" customFormat="false" ht="15" hidden="false" customHeight="false" outlineLevel="0" collapsed="false">
      <c r="A39" s="13" t="s">
        <v>123</v>
      </c>
      <c r="B39" s="13" t="s">
        <v>243</v>
      </c>
      <c r="C39" s="13" t="s">
        <v>298</v>
      </c>
      <c r="D39" s="13" t="s">
        <v>30</v>
      </c>
      <c r="E39" s="13" t="s">
        <v>299</v>
      </c>
      <c r="F39" s="14" t="s">
        <v>300</v>
      </c>
      <c r="G39" s="13"/>
      <c r="H39" s="13" t="s">
        <v>294</v>
      </c>
      <c r="I39" s="13"/>
      <c r="J39" s="13" t="s">
        <v>105</v>
      </c>
    </row>
    <row r="40" customFormat="false" ht="15" hidden="false" customHeight="false" outlineLevel="0" collapsed="false">
      <c r="A40" s="13" t="s">
        <v>123</v>
      </c>
      <c r="B40" s="13" t="s">
        <v>301</v>
      </c>
      <c r="C40" s="13" t="s">
        <v>302</v>
      </c>
      <c r="D40" s="13" t="s">
        <v>35</v>
      </c>
      <c r="E40" s="13" t="s">
        <v>303</v>
      </c>
      <c r="F40" s="14" t="s">
        <v>304</v>
      </c>
      <c r="G40" s="13"/>
      <c r="H40" s="13"/>
      <c r="I40" s="13"/>
      <c r="J40" s="13" t="s">
        <v>105</v>
      </c>
    </row>
    <row r="41" customFormat="false" ht="15" hidden="false" customHeight="false" outlineLevel="0" collapsed="false">
      <c r="A41" s="13" t="s">
        <v>123</v>
      </c>
      <c r="B41" s="13" t="s">
        <v>301</v>
      </c>
      <c r="C41" s="13" t="s">
        <v>221</v>
      </c>
      <c r="D41" s="13" t="s">
        <v>35</v>
      </c>
      <c r="E41" s="13" t="s">
        <v>305</v>
      </c>
      <c r="F41" s="14" t="s">
        <v>306</v>
      </c>
      <c r="G41" s="13"/>
      <c r="H41" s="13"/>
      <c r="I41" s="13"/>
      <c r="J41" s="13" t="s">
        <v>105</v>
      </c>
    </row>
    <row r="42" customFormat="false" ht="23.85" hidden="false" customHeight="false" outlineLevel="0" collapsed="false">
      <c r="A42" s="13" t="s">
        <v>132</v>
      </c>
      <c r="B42" s="13" t="s">
        <v>307</v>
      </c>
      <c r="C42" s="13" t="s">
        <v>308</v>
      </c>
      <c r="D42" s="13" t="s">
        <v>30</v>
      </c>
      <c r="E42" s="13" t="s">
        <v>309</v>
      </c>
      <c r="F42" s="14" t="s">
        <v>310</v>
      </c>
      <c r="G42" s="13"/>
      <c r="H42" s="13" t="s">
        <v>311</v>
      </c>
      <c r="I42" s="13" t="s">
        <v>105</v>
      </c>
      <c r="J42" s="13" t="s">
        <v>105</v>
      </c>
    </row>
    <row r="43" customFormat="false" ht="23.85" hidden="false" customHeight="false" outlineLevel="0" collapsed="false">
      <c r="A43" s="13" t="s">
        <v>132</v>
      </c>
      <c r="B43" s="13" t="s">
        <v>307</v>
      </c>
      <c r="C43" s="13" t="s">
        <v>312</v>
      </c>
      <c r="D43" s="13" t="s">
        <v>30</v>
      </c>
      <c r="E43" s="13" t="s">
        <v>313</v>
      </c>
      <c r="F43" s="14" t="s">
        <v>314</v>
      </c>
      <c r="G43" s="13"/>
      <c r="H43" s="13" t="s">
        <v>315</v>
      </c>
      <c r="I43" s="13"/>
      <c r="J43" s="13" t="s">
        <v>105</v>
      </c>
    </row>
    <row r="44" customFormat="false" ht="15" hidden="false" customHeight="false" outlineLevel="0" collapsed="false">
      <c r="A44" s="13" t="s">
        <v>132</v>
      </c>
      <c r="B44" s="13" t="s">
        <v>307</v>
      </c>
      <c r="C44" s="13" t="s">
        <v>316</v>
      </c>
      <c r="D44" s="13" t="s">
        <v>30</v>
      </c>
      <c r="E44" s="13" t="s">
        <v>317</v>
      </c>
      <c r="F44" s="14" t="s">
        <v>318</v>
      </c>
      <c r="G44" s="13"/>
      <c r="H44" s="13" t="s">
        <v>315</v>
      </c>
      <c r="I44" s="13"/>
      <c r="J44" s="13" t="s">
        <v>105</v>
      </c>
    </row>
    <row r="45" customFormat="false" ht="23.85" hidden="false" customHeight="false" outlineLevel="0" collapsed="false">
      <c r="A45" s="13" t="s">
        <v>132</v>
      </c>
      <c r="B45" s="13" t="s">
        <v>307</v>
      </c>
      <c r="C45" s="13" t="s">
        <v>319</v>
      </c>
      <c r="D45" s="13" t="s">
        <v>30</v>
      </c>
      <c r="E45" s="13" t="s">
        <v>320</v>
      </c>
      <c r="F45" s="14" t="s">
        <v>321</v>
      </c>
      <c r="G45" s="13"/>
      <c r="H45" s="13" t="s">
        <v>322</v>
      </c>
      <c r="I45" s="13"/>
      <c r="J45" s="13" t="s">
        <v>105</v>
      </c>
    </row>
    <row r="46" customFormat="false" ht="15" hidden="false" customHeight="false" outlineLevel="0" collapsed="false">
      <c r="A46" s="13" t="s">
        <v>132</v>
      </c>
      <c r="B46" s="13" t="s">
        <v>284</v>
      </c>
      <c r="C46" s="13" t="s">
        <v>323</v>
      </c>
      <c r="D46" s="13" t="s">
        <v>33</v>
      </c>
      <c r="E46" s="13" t="s">
        <v>324</v>
      </c>
      <c r="F46" s="14" t="s">
        <v>325</v>
      </c>
      <c r="G46" s="13"/>
      <c r="H46" s="13"/>
      <c r="I46" s="13"/>
      <c r="J46" s="13" t="s">
        <v>105</v>
      </c>
    </row>
    <row r="47" customFormat="false" ht="23.85" hidden="false" customHeight="false" outlineLevel="0" collapsed="false">
      <c r="A47" s="13" t="s">
        <v>132</v>
      </c>
      <c r="B47" s="13" t="s">
        <v>284</v>
      </c>
      <c r="C47" s="13" t="s">
        <v>326</v>
      </c>
      <c r="D47" s="13" t="s">
        <v>33</v>
      </c>
      <c r="E47" s="13" t="s">
        <v>327</v>
      </c>
      <c r="F47" s="14" t="s">
        <v>328</v>
      </c>
      <c r="G47" s="13"/>
      <c r="H47" s="13" t="s">
        <v>315</v>
      </c>
      <c r="I47" s="13"/>
      <c r="J47" s="13" t="s">
        <v>105</v>
      </c>
    </row>
    <row r="48" customFormat="false" ht="15" hidden="false" customHeight="false" outlineLevel="0" collapsed="false">
      <c r="A48" s="13" t="s">
        <v>132</v>
      </c>
      <c r="B48" s="13" t="s">
        <v>284</v>
      </c>
      <c r="C48" s="13" t="s">
        <v>329</v>
      </c>
      <c r="D48" s="13" t="s">
        <v>39</v>
      </c>
      <c r="E48" s="13" t="s">
        <v>330</v>
      </c>
      <c r="F48" s="14" t="s">
        <v>331</v>
      </c>
      <c r="G48" s="13" t="s">
        <v>332</v>
      </c>
      <c r="H48" s="13"/>
      <c r="I48" s="13"/>
      <c r="J48" s="13" t="s">
        <v>105</v>
      </c>
    </row>
    <row r="49" customFormat="false" ht="15" hidden="false" customHeight="false" outlineLevel="0" collapsed="false">
      <c r="A49" s="13" t="s">
        <v>141</v>
      </c>
      <c r="B49" s="13" t="s">
        <v>333</v>
      </c>
      <c r="C49" s="13" t="s">
        <v>334</v>
      </c>
      <c r="D49" s="13" t="s">
        <v>39</v>
      </c>
      <c r="E49" s="13" t="s">
        <v>335</v>
      </c>
      <c r="F49" s="14" t="s">
        <v>336</v>
      </c>
      <c r="G49" s="13"/>
      <c r="H49" s="13"/>
      <c r="I49" s="13" t="s">
        <v>105</v>
      </c>
      <c r="J49" s="13" t="s">
        <v>105</v>
      </c>
    </row>
    <row r="50" customFormat="false" ht="15" hidden="false" customHeight="false" outlineLevel="0" collapsed="false">
      <c r="A50" s="13" t="s">
        <v>141</v>
      </c>
      <c r="B50" s="13" t="s">
        <v>333</v>
      </c>
      <c r="C50" s="13" t="s">
        <v>337</v>
      </c>
      <c r="D50" s="13" t="s">
        <v>39</v>
      </c>
      <c r="E50" s="13" t="s">
        <v>338</v>
      </c>
      <c r="F50" s="14" t="s">
        <v>339</v>
      </c>
      <c r="G50" s="13"/>
      <c r="H50" s="13"/>
      <c r="I50" s="13"/>
      <c r="J50" s="13" t="s">
        <v>105</v>
      </c>
    </row>
    <row r="51" customFormat="false" ht="15" hidden="false" customHeight="false" outlineLevel="0" collapsed="false">
      <c r="A51" s="13" t="s">
        <v>141</v>
      </c>
      <c r="B51" s="13" t="s">
        <v>340</v>
      </c>
      <c r="C51" s="13" t="s">
        <v>341</v>
      </c>
      <c r="D51" s="13" t="s">
        <v>33</v>
      </c>
      <c r="E51" s="13" t="s">
        <v>342</v>
      </c>
      <c r="F51" s="14" t="s">
        <v>343</v>
      </c>
      <c r="G51" s="13"/>
      <c r="H51" s="13"/>
      <c r="I51" s="13"/>
      <c r="J51" s="13" t="s">
        <v>105</v>
      </c>
    </row>
    <row r="52" customFormat="false" ht="15" hidden="false" customHeight="false" outlineLevel="0" collapsed="false">
      <c r="A52" s="13" t="s">
        <v>141</v>
      </c>
      <c r="B52" s="13" t="s">
        <v>340</v>
      </c>
      <c r="C52" s="13" t="s">
        <v>344</v>
      </c>
      <c r="D52" s="13" t="s">
        <v>35</v>
      </c>
      <c r="E52" s="13" t="s">
        <v>345</v>
      </c>
      <c r="F52" s="14" t="s">
        <v>346</v>
      </c>
      <c r="G52" s="13"/>
      <c r="H52" s="13"/>
      <c r="I52" s="13"/>
      <c r="J52" s="13" t="s">
        <v>105</v>
      </c>
    </row>
    <row r="53" customFormat="false" ht="15" hidden="false" customHeight="false" outlineLevel="0" collapsed="false">
      <c r="A53" s="13" t="s">
        <v>150</v>
      </c>
      <c r="B53" s="13" t="s">
        <v>347</v>
      </c>
      <c r="C53" s="13" t="s">
        <v>348</v>
      </c>
      <c r="D53" s="13" t="s">
        <v>39</v>
      </c>
      <c r="E53" s="13" t="s">
        <v>349</v>
      </c>
      <c r="F53" s="14" t="s">
        <v>350</v>
      </c>
      <c r="G53" s="13" t="s">
        <v>351</v>
      </c>
      <c r="H53" s="13"/>
      <c r="I53" s="13" t="s">
        <v>105</v>
      </c>
      <c r="J53" s="13" t="s">
        <v>105</v>
      </c>
    </row>
    <row r="54" customFormat="false" ht="15" hidden="false" customHeight="false" outlineLevel="0" collapsed="false">
      <c r="A54" s="13" t="s">
        <v>150</v>
      </c>
      <c r="B54" s="13" t="s">
        <v>352</v>
      </c>
      <c r="C54" s="13" t="s">
        <v>353</v>
      </c>
      <c r="D54" s="13" t="s">
        <v>35</v>
      </c>
      <c r="E54" s="13" t="s">
        <v>354</v>
      </c>
      <c r="F54" s="14" t="s">
        <v>355</v>
      </c>
      <c r="G54" s="13"/>
      <c r="H54" s="13"/>
      <c r="I54" s="13"/>
      <c r="J54" s="13" t="s">
        <v>105</v>
      </c>
    </row>
    <row r="55" customFormat="false" ht="15" hidden="false" customHeight="false" outlineLevel="0" collapsed="false">
      <c r="A55" s="13" t="s">
        <v>150</v>
      </c>
      <c r="B55" s="13" t="s">
        <v>352</v>
      </c>
      <c r="C55" s="13" t="s">
        <v>356</v>
      </c>
      <c r="D55" s="13" t="s">
        <v>35</v>
      </c>
      <c r="E55" s="13" t="s">
        <v>357</v>
      </c>
      <c r="F55" s="14" t="s">
        <v>358</v>
      </c>
      <c r="G55" s="13"/>
      <c r="H55" s="13"/>
      <c r="I55" s="13"/>
      <c r="J55" s="13" t="s">
        <v>105</v>
      </c>
    </row>
    <row r="56" customFormat="false" ht="15" hidden="false" customHeight="false" outlineLevel="0" collapsed="false">
      <c r="A56" s="13" t="s">
        <v>150</v>
      </c>
      <c r="B56" s="13" t="s">
        <v>352</v>
      </c>
      <c r="C56" s="13" t="s">
        <v>359</v>
      </c>
      <c r="D56" s="13" t="s">
        <v>35</v>
      </c>
      <c r="E56" s="13" t="s">
        <v>360</v>
      </c>
      <c r="F56" s="14" t="s">
        <v>361</v>
      </c>
      <c r="G56" s="13"/>
      <c r="H56" s="13"/>
      <c r="I56" s="13"/>
      <c r="J56" s="13" t="s">
        <v>105</v>
      </c>
    </row>
    <row r="57" customFormat="false" ht="15" hidden="false" customHeight="false" outlineLevel="0" collapsed="false">
      <c r="A57" s="13" t="s">
        <v>150</v>
      </c>
      <c r="B57" s="13" t="s">
        <v>352</v>
      </c>
      <c r="C57" s="13" t="s">
        <v>362</v>
      </c>
      <c r="D57" s="13" t="s">
        <v>35</v>
      </c>
      <c r="E57" s="13" t="s">
        <v>363</v>
      </c>
      <c r="F57" s="14" t="s">
        <v>364</v>
      </c>
      <c r="G57" s="13"/>
      <c r="H57" s="13"/>
      <c r="I57" s="13"/>
      <c r="J57" s="13" t="s">
        <v>105</v>
      </c>
    </row>
    <row r="58" customFormat="false" ht="15" hidden="false" customHeight="false" outlineLevel="0" collapsed="false">
      <c r="A58" s="13" t="s">
        <v>150</v>
      </c>
      <c r="B58" s="13" t="s">
        <v>352</v>
      </c>
      <c r="C58" s="13" t="s">
        <v>365</v>
      </c>
      <c r="D58" s="13" t="s">
        <v>35</v>
      </c>
      <c r="E58" s="13" t="s">
        <v>366</v>
      </c>
      <c r="F58" s="14" t="s">
        <v>367</v>
      </c>
      <c r="G58" s="13"/>
      <c r="H58" s="13"/>
      <c r="I58" s="13"/>
      <c r="J58" s="13" t="s">
        <v>105</v>
      </c>
    </row>
    <row r="59" customFormat="false" ht="15" hidden="false" customHeight="false" outlineLevel="0" collapsed="false">
      <c r="A59" s="13" t="s">
        <v>150</v>
      </c>
      <c r="B59" s="13" t="s">
        <v>368</v>
      </c>
      <c r="C59" s="13" t="s">
        <v>369</v>
      </c>
      <c r="D59" s="13" t="s">
        <v>35</v>
      </c>
      <c r="E59" s="13" t="s">
        <v>370</v>
      </c>
      <c r="F59" s="14" t="s">
        <v>371</v>
      </c>
      <c r="G59" s="13"/>
      <c r="H59" s="13"/>
      <c r="I59" s="13"/>
      <c r="J59" s="13" t="s">
        <v>105</v>
      </c>
    </row>
    <row r="60" customFormat="false" ht="15" hidden="false" customHeight="false" outlineLevel="0" collapsed="false">
      <c r="A60" s="13" t="s">
        <v>150</v>
      </c>
      <c r="B60" s="13" t="s">
        <v>368</v>
      </c>
      <c r="C60" s="13" t="s">
        <v>372</v>
      </c>
      <c r="D60" s="13" t="s">
        <v>35</v>
      </c>
      <c r="E60" s="13" t="s">
        <v>373</v>
      </c>
      <c r="F60" s="14" t="s">
        <v>374</v>
      </c>
      <c r="G60" s="13"/>
      <c r="H60" s="13"/>
      <c r="I60" s="13"/>
      <c r="J60" s="13" t="s">
        <v>105</v>
      </c>
    </row>
    <row r="61" customFormat="false" ht="15" hidden="false" customHeight="false" outlineLevel="0" collapsed="false">
      <c r="A61" s="13" t="s">
        <v>150</v>
      </c>
      <c r="B61" s="13" t="s">
        <v>368</v>
      </c>
      <c r="C61" s="13" t="s">
        <v>375</v>
      </c>
      <c r="D61" s="13" t="s">
        <v>35</v>
      </c>
      <c r="E61" s="13" t="s">
        <v>376</v>
      </c>
      <c r="F61" s="14" t="s">
        <v>377</v>
      </c>
      <c r="G61" s="13"/>
      <c r="H61" s="13"/>
      <c r="I61" s="13"/>
      <c r="J61" s="13" t="s">
        <v>105</v>
      </c>
    </row>
    <row r="62" customFormat="false" ht="35.05" hidden="false" customHeight="false" outlineLevel="0" collapsed="false">
      <c r="A62" s="13" t="s">
        <v>159</v>
      </c>
      <c r="B62" s="13" t="s">
        <v>243</v>
      </c>
      <c r="C62" s="13" t="s">
        <v>378</v>
      </c>
      <c r="D62" s="13" t="s">
        <v>30</v>
      </c>
      <c r="E62" s="13" t="s">
        <v>379</v>
      </c>
      <c r="F62" s="14" t="s">
        <v>380</v>
      </c>
      <c r="G62" s="13"/>
      <c r="H62" s="13" t="s">
        <v>381</v>
      </c>
      <c r="I62" s="13" t="s">
        <v>105</v>
      </c>
      <c r="J62" s="13" t="s">
        <v>105</v>
      </c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4"/>
      <c r="G63" s="13"/>
      <c r="H63" s="13"/>
      <c r="I63" s="13"/>
      <c r="J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4"/>
      <c r="G64" s="13"/>
      <c r="H64" s="13"/>
      <c r="I64" s="13"/>
      <c r="J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4"/>
      <c r="G65" s="13"/>
      <c r="H65" s="13"/>
      <c r="I65" s="13"/>
      <c r="J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4"/>
      <c r="G66" s="13"/>
      <c r="H66" s="13"/>
      <c r="I66" s="13"/>
      <c r="J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4"/>
      <c r="G67" s="13"/>
      <c r="H67" s="13"/>
      <c r="I67" s="13"/>
      <c r="J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4"/>
      <c r="G68" s="13"/>
      <c r="H68" s="13"/>
      <c r="I68" s="13"/>
      <c r="J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4"/>
      <c r="G69" s="13"/>
      <c r="H69" s="13"/>
      <c r="I69" s="13"/>
      <c r="J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4"/>
      <c r="G70" s="13"/>
      <c r="H70" s="13"/>
      <c r="I70" s="13"/>
      <c r="J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4"/>
      <c r="G71" s="13"/>
      <c r="H71" s="13"/>
      <c r="I71" s="13"/>
      <c r="J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4"/>
      <c r="G72" s="13"/>
      <c r="H72" s="13"/>
      <c r="I72" s="13"/>
      <c r="J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4"/>
      <c r="G73" s="13"/>
      <c r="H73" s="13"/>
      <c r="I73" s="13"/>
      <c r="J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4"/>
      <c r="G74" s="13"/>
      <c r="H74" s="13"/>
      <c r="I74" s="13"/>
      <c r="J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4"/>
      <c r="G75" s="13"/>
      <c r="H75" s="13"/>
      <c r="I75" s="13"/>
      <c r="J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4"/>
      <c r="G76" s="13"/>
      <c r="H76" s="13"/>
      <c r="I76" s="13"/>
      <c r="J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4"/>
      <c r="G77" s="13"/>
      <c r="H77" s="13"/>
      <c r="I77" s="13"/>
      <c r="J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4"/>
      <c r="G78" s="13"/>
      <c r="H78" s="13"/>
      <c r="I78" s="13"/>
      <c r="J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4"/>
      <c r="G79" s="13"/>
      <c r="H79" s="13"/>
      <c r="I79" s="13"/>
      <c r="J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4"/>
      <c r="G80" s="13"/>
      <c r="H80" s="13"/>
      <c r="I80" s="13"/>
      <c r="J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4"/>
      <c r="G81" s="13"/>
      <c r="H81" s="13"/>
      <c r="I81" s="13"/>
      <c r="J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4"/>
      <c r="G82" s="13"/>
      <c r="H82" s="13"/>
      <c r="I82" s="13"/>
      <c r="J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4"/>
      <c r="G83" s="13"/>
      <c r="H83" s="13"/>
      <c r="I83" s="13"/>
      <c r="J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4"/>
      <c r="G84" s="13"/>
      <c r="H84" s="13"/>
      <c r="I84" s="13"/>
      <c r="J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4"/>
      <c r="G85" s="13"/>
      <c r="H85" s="13"/>
      <c r="I85" s="13"/>
      <c r="J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4"/>
      <c r="G86" s="13"/>
      <c r="H86" s="13"/>
      <c r="I86" s="13"/>
      <c r="J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4"/>
      <c r="G87" s="13"/>
      <c r="H87" s="13"/>
      <c r="I87" s="13"/>
      <c r="J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4"/>
      <c r="G88" s="13"/>
      <c r="H88" s="13"/>
      <c r="I88" s="13"/>
      <c r="J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4"/>
      <c r="G89" s="13"/>
      <c r="H89" s="13"/>
      <c r="I89" s="13"/>
      <c r="J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4"/>
      <c r="G90" s="13"/>
      <c r="H90" s="13"/>
      <c r="I90" s="13"/>
      <c r="J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4"/>
      <c r="G91" s="13"/>
      <c r="H91" s="13"/>
      <c r="I91" s="13"/>
      <c r="J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4"/>
      <c r="G92" s="13"/>
      <c r="H92" s="13"/>
      <c r="I92" s="13"/>
      <c r="J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4"/>
      <c r="G93" s="13"/>
      <c r="H93" s="13"/>
      <c r="I93" s="13"/>
      <c r="J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4"/>
      <c r="G94" s="13"/>
      <c r="H94" s="13"/>
      <c r="I94" s="13"/>
      <c r="J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4"/>
      <c r="G95" s="13"/>
      <c r="H95" s="13"/>
      <c r="I95" s="13"/>
      <c r="J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4"/>
      <c r="G96" s="13"/>
      <c r="H96" s="13"/>
      <c r="I96" s="13"/>
      <c r="J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4"/>
      <c r="G97" s="13"/>
      <c r="H97" s="13"/>
      <c r="I97" s="13"/>
      <c r="J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4"/>
      <c r="G98" s="13"/>
      <c r="H98" s="13"/>
      <c r="I98" s="13"/>
      <c r="J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4"/>
      <c r="G99" s="13"/>
      <c r="H99" s="13"/>
      <c r="I99" s="13"/>
      <c r="J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4"/>
      <c r="G100" s="13"/>
      <c r="H100" s="13"/>
      <c r="I100" s="13"/>
      <c r="J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4"/>
      <c r="G101" s="13"/>
      <c r="H101" s="13"/>
      <c r="I101" s="13"/>
      <c r="J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4"/>
      <c r="G102" s="13"/>
      <c r="H102" s="13"/>
      <c r="I102" s="13"/>
      <c r="J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4"/>
      <c r="G103" s="13"/>
      <c r="H103" s="13"/>
      <c r="I103" s="13"/>
      <c r="J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4"/>
      <c r="G104" s="13"/>
      <c r="H104" s="13"/>
      <c r="I104" s="13"/>
      <c r="J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4"/>
      <c r="G105" s="13"/>
      <c r="H105" s="13"/>
      <c r="I105" s="13"/>
      <c r="J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4"/>
      <c r="G106" s="13"/>
      <c r="H106" s="13"/>
      <c r="I106" s="13"/>
      <c r="J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4"/>
      <c r="G107" s="13"/>
      <c r="H107" s="13"/>
      <c r="I107" s="13"/>
      <c r="J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4"/>
      <c r="G108" s="13"/>
      <c r="H108" s="13"/>
      <c r="I108" s="13"/>
      <c r="J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4"/>
      <c r="G109" s="13"/>
      <c r="H109" s="13"/>
      <c r="I109" s="13"/>
      <c r="J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4"/>
      <c r="G110" s="13"/>
      <c r="H110" s="13"/>
      <c r="I110" s="13"/>
      <c r="J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4"/>
      <c r="G111" s="13"/>
      <c r="H111" s="13"/>
      <c r="I111" s="13"/>
      <c r="J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4"/>
      <c r="G112" s="13"/>
      <c r="H112" s="13"/>
      <c r="I112" s="13"/>
      <c r="J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4"/>
      <c r="G113" s="13"/>
      <c r="H113" s="13"/>
      <c r="I113" s="13"/>
      <c r="J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4"/>
      <c r="G114" s="13"/>
      <c r="H114" s="13"/>
      <c r="I114" s="13"/>
      <c r="J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4"/>
      <c r="G115" s="13"/>
      <c r="H115" s="13"/>
      <c r="I115" s="13"/>
      <c r="J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4"/>
      <c r="G116" s="13"/>
      <c r="H116" s="13"/>
      <c r="I116" s="13"/>
      <c r="J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4"/>
      <c r="G117" s="13"/>
      <c r="H117" s="13"/>
      <c r="I117" s="13"/>
      <c r="J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4"/>
      <c r="G118" s="13"/>
      <c r="H118" s="13"/>
      <c r="I118" s="13"/>
      <c r="J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4"/>
      <c r="G119" s="13"/>
      <c r="H119" s="13"/>
      <c r="I119" s="13"/>
      <c r="J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4"/>
      <c r="G120" s="13"/>
      <c r="H120" s="13"/>
      <c r="I120" s="13"/>
      <c r="J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4"/>
      <c r="G121" s="13"/>
      <c r="H121" s="13"/>
      <c r="I121" s="13"/>
      <c r="J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4"/>
      <c r="G122" s="13"/>
      <c r="H122" s="13"/>
      <c r="I122" s="13"/>
      <c r="J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4"/>
      <c r="G123" s="13"/>
      <c r="H123" s="13"/>
      <c r="I123" s="13"/>
      <c r="J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4"/>
      <c r="G124" s="13"/>
      <c r="H124" s="13"/>
      <c r="I124" s="13"/>
      <c r="J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4"/>
      <c r="G125" s="13"/>
      <c r="H125" s="13"/>
      <c r="I125" s="13"/>
      <c r="J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4"/>
      <c r="G126" s="13"/>
      <c r="H126" s="13"/>
      <c r="I126" s="13"/>
      <c r="J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4"/>
      <c r="G127" s="13"/>
      <c r="H127" s="13"/>
      <c r="I127" s="13"/>
      <c r="J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4"/>
      <c r="G128" s="13"/>
      <c r="H128" s="13"/>
      <c r="I128" s="13"/>
      <c r="J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4"/>
      <c r="G129" s="13"/>
      <c r="H129" s="13"/>
      <c r="I129" s="13"/>
      <c r="J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4"/>
      <c r="G130" s="13"/>
      <c r="H130" s="13"/>
      <c r="I130" s="13"/>
      <c r="J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4"/>
      <c r="G131" s="13"/>
      <c r="H131" s="13"/>
      <c r="I131" s="13"/>
      <c r="J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4"/>
      <c r="G132" s="13"/>
      <c r="H132" s="13"/>
      <c r="I132" s="13"/>
      <c r="J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4"/>
      <c r="G133" s="13"/>
      <c r="H133" s="13"/>
      <c r="I133" s="13"/>
      <c r="J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4"/>
      <c r="G134" s="13"/>
      <c r="H134" s="13"/>
      <c r="I134" s="13"/>
      <c r="J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4"/>
      <c r="G135" s="13"/>
      <c r="H135" s="13"/>
      <c r="I135" s="13"/>
      <c r="J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4"/>
      <c r="G136" s="13"/>
      <c r="H136" s="13"/>
      <c r="I136" s="13"/>
      <c r="J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4"/>
      <c r="G137" s="13"/>
      <c r="H137" s="13"/>
      <c r="I137" s="13"/>
      <c r="J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4"/>
      <c r="G138" s="13"/>
      <c r="H138" s="13"/>
      <c r="I138" s="13"/>
      <c r="J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4"/>
      <c r="G139" s="13"/>
      <c r="H139" s="13"/>
      <c r="I139" s="13"/>
      <c r="J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4"/>
      <c r="G140" s="13"/>
      <c r="H140" s="13"/>
      <c r="I140" s="13"/>
      <c r="J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4"/>
      <c r="G141" s="13"/>
      <c r="H141" s="13"/>
      <c r="I141" s="13"/>
      <c r="J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4"/>
      <c r="G142" s="13"/>
      <c r="H142" s="13"/>
      <c r="I142" s="13"/>
      <c r="J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4"/>
      <c r="G143" s="13"/>
      <c r="H143" s="13"/>
      <c r="I143" s="13"/>
      <c r="J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4"/>
      <c r="G144" s="13"/>
      <c r="H144" s="13"/>
      <c r="I144" s="13"/>
      <c r="J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4"/>
      <c r="G145" s="13"/>
      <c r="H145" s="13"/>
      <c r="I145" s="13"/>
      <c r="J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4"/>
      <c r="G146" s="13"/>
      <c r="H146" s="13"/>
      <c r="I146" s="13"/>
      <c r="J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4"/>
      <c r="G147" s="13"/>
      <c r="H147" s="13"/>
      <c r="I147" s="13"/>
      <c r="J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4"/>
      <c r="G148" s="13"/>
      <c r="H148" s="13"/>
      <c r="I148" s="13"/>
      <c r="J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4"/>
      <c r="G149" s="13"/>
      <c r="H149" s="13"/>
      <c r="I149" s="13"/>
      <c r="J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4"/>
      <c r="G150" s="13"/>
      <c r="H150" s="13"/>
      <c r="I150" s="13"/>
      <c r="J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4"/>
      <c r="G151" s="13"/>
      <c r="H151" s="13"/>
      <c r="I151" s="13"/>
      <c r="J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4"/>
      <c r="G152" s="13"/>
      <c r="H152" s="13"/>
      <c r="I152" s="13"/>
      <c r="J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4"/>
      <c r="G153" s="13"/>
      <c r="H153" s="13"/>
      <c r="I153" s="13"/>
      <c r="J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4"/>
      <c r="G154" s="13"/>
      <c r="H154" s="13"/>
      <c r="I154" s="13"/>
      <c r="J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4"/>
      <c r="G155" s="13"/>
      <c r="H155" s="13"/>
      <c r="I155" s="13"/>
      <c r="J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4"/>
      <c r="G156" s="13"/>
      <c r="H156" s="13"/>
      <c r="I156" s="13"/>
      <c r="J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4"/>
      <c r="G157" s="13"/>
      <c r="H157" s="13"/>
      <c r="I157" s="13"/>
      <c r="J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4"/>
      <c r="G158" s="13"/>
      <c r="H158" s="13"/>
      <c r="I158" s="13"/>
      <c r="J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4"/>
      <c r="G159" s="13"/>
      <c r="H159" s="13"/>
      <c r="I159" s="13"/>
      <c r="J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4"/>
      <c r="G160" s="13"/>
      <c r="H160" s="13"/>
      <c r="I160" s="13"/>
      <c r="J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4"/>
      <c r="G161" s="13"/>
      <c r="H161" s="13"/>
      <c r="I161" s="13"/>
      <c r="J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4"/>
      <c r="G162" s="13"/>
      <c r="H162" s="13"/>
      <c r="I162" s="13"/>
      <c r="J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4"/>
      <c r="G163" s="13"/>
      <c r="H163" s="13"/>
      <c r="I163" s="13"/>
      <c r="J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4"/>
      <c r="G164" s="13"/>
      <c r="H164" s="13"/>
      <c r="I164" s="13"/>
      <c r="J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4"/>
      <c r="G165" s="13"/>
      <c r="H165" s="13"/>
      <c r="I165" s="13"/>
      <c r="J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4"/>
      <c r="G166" s="13"/>
      <c r="H166" s="13"/>
      <c r="I166" s="13"/>
      <c r="J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4"/>
      <c r="G167" s="13"/>
      <c r="H167" s="13"/>
      <c r="I167" s="13"/>
      <c r="J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4"/>
      <c r="G168" s="13"/>
      <c r="H168" s="13"/>
      <c r="I168" s="13"/>
      <c r="J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4"/>
      <c r="G169" s="13"/>
      <c r="H169" s="13"/>
      <c r="I169" s="13"/>
      <c r="J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4"/>
      <c r="G170" s="13"/>
      <c r="H170" s="13"/>
      <c r="I170" s="13"/>
      <c r="J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4"/>
      <c r="G171" s="13"/>
      <c r="H171" s="13"/>
      <c r="I171" s="13"/>
      <c r="J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4"/>
      <c r="G172" s="13"/>
      <c r="H172" s="13"/>
      <c r="I172" s="13"/>
      <c r="J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4"/>
      <c r="G173" s="13"/>
      <c r="H173" s="13"/>
      <c r="I173" s="13"/>
      <c r="J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4"/>
      <c r="G174" s="13"/>
      <c r="H174" s="13"/>
      <c r="I174" s="13"/>
      <c r="J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4"/>
      <c r="G175" s="13"/>
      <c r="H175" s="13"/>
      <c r="I175" s="13"/>
      <c r="J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4"/>
      <c r="G176" s="13"/>
      <c r="H176" s="13"/>
      <c r="I176" s="13"/>
      <c r="J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4"/>
      <c r="G177" s="13"/>
      <c r="H177" s="13"/>
      <c r="I177" s="13"/>
      <c r="J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4"/>
      <c r="G178" s="13"/>
      <c r="H178" s="13"/>
      <c r="I178" s="13"/>
      <c r="J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4"/>
      <c r="G179" s="13"/>
      <c r="H179" s="13"/>
      <c r="I179" s="13"/>
      <c r="J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4"/>
      <c r="G180" s="13"/>
      <c r="H180" s="13"/>
      <c r="I180" s="13"/>
      <c r="J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4"/>
      <c r="G181" s="13"/>
      <c r="H181" s="13"/>
      <c r="I181" s="13"/>
      <c r="J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4"/>
      <c r="G182" s="13"/>
      <c r="H182" s="13"/>
      <c r="I182" s="13"/>
      <c r="J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4"/>
      <c r="G183" s="13"/>
      <c r="H183" s="13"/>
      <c r="I183" s="13"/>
      <c r="J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4"/>
      <c r="G184" s="13"/>
      <c r="H184" s="13"/>
      <c r="I184" s="13"/>
      <c r="J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4"/>
      <c r="G185" s="13"/>
      <c r="H185" s="13"/>
      <c r="I185" s="13"/>
      <c r="J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4"/>
      <c r="G186" s="13"/>
      <c r="H186" s="13"/>
      <c r="I186" s="13"/>
      <c r="J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4"/>
      <c r="G187" s="13"/>
      <c r="H187" s="13"/>
      <c r="I187" s="13"/>
      <c r="J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4"/>
      <c r="G188" s="13"/>
      <c r="H188" s="13"/>
      <c r="I188" s="13"/>
      <c r="J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4"/>
      <c r="G189" s="13"/>
      <c r="H189" s="13"/>
      <c r="I189" s="13"/>
      <c r="J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4"/>
      <c r="G190" s="13"/>
      <c r="H190" s="13"/>
      <c r="I190" s="13"/>
      <c r="J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4"/>
      <c r="G191" s="13"/>
      <c r="H191" s="13"/>
      <c r="I191" s="13"/>
      <c r="J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4"/>
      <c r="G192" s="13"/>
      <c r="H192" s="13"/>
      <c r="I192" s="13"/>
      <c r="J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4"/>
      <c r="G193" s="13"/>
      <c r="H193" s="13"/>
      <c r="I193" s="13"/>
      <c r="J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4"/>
      <c r="G194" s="13"/>
      <c r="H194" s="13"/>
      <c r="I194" s="13"/>
      <c r="J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4"/>
      <c r="G195" s="13"/>
      <c r="H195" s="13"/>
      <c r="I195" s="13"/>
      <c r="J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4"/>
      <c r="G196" s="13"/>
      <c r="H196" s="13"/>
      <c r="I196" s="13"/>
      <c r="J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4"/>
      <c r="G197" s="13"/>
      <c r="H197" s="13"/>
      <c r="I197" s="13"/>
      <c r="J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4"/>
      <c r="G198" s="13"/>
      <c r="H198" s="13"/>
      <c r="I198" s="13"/>
      <c r="J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4"/>
      <c r="G199" s="13"/>
      <c r="H199" s="13"/>
      <c r="I199" s="13"/>
      <c r="J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4"/>
      <c r="G200" s="13"/>
      <c r="H200" s="13"/>
      <c r="I200" s="13"/>
      <c r="J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4"/>
      <c r="G201" s="13"/>
      <c r="H201" s="13"/>
      <c r="I201" s="13"/>
      <c r="J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4"/>
      <c r="G202" s="13"/>
      <c r="H202" s="13"/>
      <c r="I202" s="13"/>
      <c r="J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4"/>
      <c r="G203" s="13"/>
      <c r="H203" s="13"/>
      <c r="I203" s="13"/>
      <c r="J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4"/>
      <c r="G204" s="13"/>
      <c r="H204" s="13"/>
      <c r="I204" s="13"/>
      <c r="J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4"/>
      <c r="G205" s="13"/>
      <c r="H205" s="13"/>
      <c r="I205" s="13"/>
      <c r="J205" s="13"/>
    </row>
    <row r="206" customFormat="false" ht="15" hidden="false" customHeight="false" outlineLevel="0" collapsed="false">
      <c r="A206" s="13"/>
      <c r="B206" s="13"/>
      <c r="C206" s="13"/>
      <c r="D206" s="13"/>
      <c r="E206" s="13"/>
      <c r="F206" s="14"/>
      <c r="G206" s="13"/>
      <c r="H206" s="13"/>
      <c r="I206" s="13"/>
      <c r="J206" s="13"/>
    </row>
    <row r="207" customFormat="false" ht="15" hidden="false" customHeight="false" outlineLevel="0" collapsed="false">
      <c r="A207" s="13"/>
      <c r="B207" s="13"/>
      <c r="C207" s="13"/>
      <c r="D207" s="13"/>
      <c r="E207" s="13"/>
      <c r="F207" s="14"/>
      <c r="G207" s="13"/>
      <c r="H207" s="13"/>
      <c r="I207" s="13"/>
      <c r="J207" s="13"/>
    </row>
    <row r="208" customFormat="false" ht="15" hidden="false" customHeight="false" outlineLevel="0" collapsed="false">
      <c r="A208" s="13"/>
      <c r="B208" s="13"/>
      <c r="C208" s="13"/>
      <c r="D208" s="13"/>
      <c r="E208" s="13"/>
      <c r="F208" s="14"/>
      <c r="G208" s="13"/>
      <c r="H208" s="13"/>
      <c r="I208" s="13"/>
      <c r="J208" s="13"/>
    </row>
    <row r="209" customFormat="false" ht="15" hidden="false" customHeight="false" outlineLevel="0" collapsed="false">
      <c r="A209" s="13"/>
      <c r="B209" s="13"/>
      <c r="C209" s="13"/>
      <c r="D209" s="13"/>
      <c r="E209" s="13"/>
      <c r="F209" s="14"/>
      <c r="G209" s="13"/>
      <c r="H209" s="13"/>
      <c r="I209" s="13"/>
      <c r="J209" s="13"/>
    </row>
    <row r="210" customFormat="false" ht="15" hidden="false" customHeight="false" outlineLevel="0" collapsed="false">
      <c r="A210" s="13"/>
      <c r="B210" s="13"/>
      <c r="C210" s="13"/>
      <c r="D210" s="13"/>
      <c r="E210" s="13"/>
      <c r="F210" s="14"/>
      <c r="G210" s="13"/>
      <c r="H210" s="13"/>
      <c r="I210" s="13"/>
      <c r="J210" s="13"/>
    </row>
    <row r="211" customFormat="false" ht="15" hidden="false" customHeight="false" outlineLevel="0" collapsed="false">
      <c r="A211" s="13"/>
      <c r="B211" s="13"/>
      <c r="C211" s="13"/>
      <c r="D211" s="13"/>
      <c r="E211" s="13"/>
      <c r="F211" s="14"/>
      <c r="G211" s="13"/>
      <c r="H211" s="13"/>
      <c r="I211" s="13"/>
      <c r="J211" s="13"/>
    </row>
    <row r="212" customFormat="false" ht="15" hidden="false" customHeight="false" outlineLevel="0" collapsed="false">
      <c r="A212" s="13"/>
      <c r="B212" s="13"/>
      <c r="C212" s="13"/>
      <c r="D212" s="13"/>
      <c r="E212" s="13"/>
      <c r="F212" s="14"/>
      <c r="G212" s="13"/>
      <c r="H212" s="13"/>
      <c r="I212" s="13"/>
      <c r="J212" s="13"/>
    </row>
    <row r="213" customFormat="false" ht="15" hidden="false" customHeight="false" outlineLevel="0" collapsed="false">
      <c r="A213" s="13"/>
      <c r="B213" s="13"/>
      <c r="C213" s="13"/>
      <c r="D213" s="13"/>
      <c r="E213" s="13"/>
      <c r="F213" s="14"/>
      <c r="G213" s="13"/>
      <c r="H213" s="13"/>
      <c r="I213" s="13"/>
      <c r="J213" s="13"/>
    </row>
    <row r="214" customFormat="false" ht="15" hidden="false" customHeight="false" outlineLevel="0" collapsed="false">
      <c r="A214" s="13"/>
      <c r="B214" s="13"/>
      <c r="C214" s="13"/>
      <c r="D214" s="13"/>
      <c r="E214" s="13"/>
      <c r="F214" s="14"/>
      <c r="G214" s="13"/>
      <c r="H214" s="13"/>
      <c r="I214" s="13"/>
      <c r="J214" s="13"/>
    </row>
    <row r="215" customFormat="false" ht="15" hidden="false" customHeight="false" outlineLevel="0" collapsed="false">
      <c r="A215" s="13"/>
      <c r="B215" s="13"/>
      <c r="C215" s="13"/>
      <c r="D215" s="13"/>
      <c r="E215" s="13"/>
      <c r="F215" s="14"/>
      <c r="G215" s="13"/>
      <c r="H215" s="13"/>
      <c r="I215" s="13"/>
      <c r="J215" s="13"/>
    </row>
    <row r="216" customFormat="false" ht="15" hidden="false" customHeight="false" outlineLevel="0" collapsed="false">
      <c r="A216" s="13"/>
      <c r="B216" s="13"/>
      <c r="C216" s="13"/>
      <c r="D216" s="13"/>
      <c r="E216" s="13"/>
      <c r="F216" s="14"/>
      <c r="G216" s="13"/>
      <c r="H216" s="13"/>
      <c r="I216" s="13"/>
      <c r="J216" s="13"/>
    </row>
    <row r="217" customFormat="false" ht="15" hidden="false" customHeight="false" outlineLevel="0" collapsed="false">
      <c r="A217" s="13"/>
      <c r="B217" s="13"/>
      <c r="C217" s="13"/>
      <c r="D217" s="13"/>
      <c r="E217" s="13"/>
      <c r="F217" s="14"/>
      <c r="G217" s="13"/>
      <c r="H217" s="13"/>
      <c r="I217" s="13"/>
      <c r="J217" s="13"/>
    </row>
    <row r="218" customFormat="false" ht="15" hidden="false" customHeight="false" outlineLevel="0" collapsed="false">
      <c r="A218" s="13"/>
      <c r="B218" s="13"/>
      <c r="C218" s="13"/>
      <c r="D218" s="13"/>
      <c r="E218" s="13"/>
      <c r="F218" s="14"/>
      <c r="G218" s="13"/>
      <c r="H218" s="13"/>
      <c r="I218" s="13"/>
      <c r="J218" s="13"/>
    </row>
    <row r="219" customFormat="false" ht="15" hidden="false" customHeight="false" outlineLevel="0" collapsed="false">
      <c r="A219" s="13"/>
      <c r="B219" s="13"/>
      <c r="C219" s="13"/>
      <c r="D219" s="13"/>
      <c r="E219" s="13"/>
      <c r="F219" s="14"/>
      <c r="G219" s="13"/>
      <c r="H219" s="13"/>
      <c r="I219" s="13"/>
      <c r="J219" s="13"/>
    </row>
    <row r="220" customFormat="false" ht="15" hidden="false" customHeight="false" outlineLevel="0" collapsed="false">
      <c r="A220" s="13"/>
      <c r="B220" s="13"/>
      <c r="C220" s="13"/>
      <c r="D220" s="13"/>
      <c r="E220" s="13"/>
      <c r="F220" s="14"/>
      <c r="G220" s="13"/>
      <c r="H220" s="13"/>
      <c r="I220" s="13"/>
      <c r="J220" s="13"/>
    </row>
    <row r="221" customFormat="false" ht="15" hidden="false" customHeight="false" outlineLevel="0" collapsed="false">
      <c r="A221" s="13"/>
      <c r="B221" s="13"/>
      <c r="C221" s="13"/>
      <c r="D221" s="13"/>
      <c r="E221" s="13"/>
      <c r="F221" s="14"/>
      <c r="G221" s="13"/>
      <c r="H221" s="13"/>
      <c r="I221" s="13"/>
      <c r="J221" s="13"/>
    </row>
    <row r="222" customFormat="false" ht="15" hidden="false" customHeight="false" outlineLevel="0" collapsed="false">
      <c r="A222" s="13"/>
      <c r="B222" s="13"/>
      <c r="C222" s="13"/>
      <c r="D222" s="13"/>
      <c r="E222" s="13"/>
      <c r="F222" s="14"/>
      <c r="G222" s="13"/>
      <c r="H222" s="13"/>
      <c r="I222" s="13"/>
      <c r="J222" s="13"/>
    </row>
    <row r="223" customFormat="false" ht="15" hidden="false" customHeight="false" outlineLevel="0" collapsed="false">
      <c r="A223" s="13"/>
      <c r="B223" s="13"/>
      <c r="C223" s="13"/>
      <c r="D223" s="13"/>
      <c r="E223" s="13"/>
      <c r="F223" s="14"/>
      <c r="G223" s="13"/>
      <c r="H223" s="13"/>
      <c r="I223" s="13"/>
      <c r="J223" s="13"/>
    </row>
    <row r="224" customFormat="false" ht="15" hidden="false" customHeight="false" outlineLevel="0" collapsed="false">
      <c r="A224" s="13"/>
      <c r="B224" s="13"/>
      <c r="C224" s="13"/>
      <c r="D224" s="13"/>
      <c r="E224" s="13"/>
      <c r="F224" s="14"/>
      <c r="G224" s="13"/>
      <c r="H224" s="13"/>
      <c r="I224" s="13"/>
      <c r="J224" s="13"/>
    </row>
    <row r="225" customFormat="false" ht="15" hidden="false" customHeight="false" outlineLevel="0" collapsed="false">
      <c r="A225" s="13"/>
      <c r="B225" s="13"/>
      <c r="C225" s="13"/>
      <c r="D225" s="13"/>
      <c r="E225" s="13"/>
      <c r="F225" s="14"/>
      <c r="G225" s="13"/>
      <c r="H225" s="13"/>
      <c r="I225" s="13"/>
      <c r="J225" s="13"/>
    </row>
    <row r="226" customFormat="false" ht="15" hidden="false" customHeight="false" outlineLevel="0" collapsed="false">
      <c r="A226" s="13"/>
      <c r="B226" s="13"/>
      <c r="C226" s="13"/>
      <c r="D226" s="13"/>
      <c r="E226" s="13"/>
      <c r="F226" s="14"/>
      <c r="G226" s="13"/>
      <c r="H226" s="13"/>
      <c r="I226" s="13"/>
      <c r="J226" s="13"/>
    </row>
    <row r="227" customFormat="false" ht="15" hidden="false" customHeight="false" outlineLevel="0" collapsed="false">
      <c r="A227" s="13"/>
      <c r="B227" s="13"/>
      <c r="C227" s="13"/>
      <c r="D227" s="13"/>
      <c r="E227" s="13"/>
      <c r="F227" s="14"/>
      <c r="G227" s="13"/>
      <c r="H227" s="13"/>
      <c r="I227" s="13"/>
      <c r="J227" s="13"/>
    </row>
    <row r="228" customFormat="false" ht="15" hidden="false" customHeight="false" outlineLevel="0" collapsed="false">
      <c r="A228" s="13"/>
      <c r="B228" s="13"/>
      <c r="C228" s="13"/>
      <c r="D228" s="13"/>
      <c r="E228" s="13"/>
      <c r="F228" s="14"/>
      <c r="G228" s="13"/>
      <c r="H228" s="13"/>
      <c r="I228" s="13"/>
      <c r="J228" s="13"/>
    </row>
    <row r="229" customFormat="false" ht="15" hidden="false" customHeight="false" outlineLevel="0" collapsed="false">
      <c r="A229" s="13"/>
      <c r="B229" s="13"/>
      <c r="C229" s="13"/>
      <c r="D229" s="13"/>
      <c r="E229" s="13"/>
      <c r="F229" s="14"/>
      <c r="G229" s="13"/>
      <c r="H229" s="13"/>
      <c r="I229" s="13"/>
      <c r="J229" s="13"/>
    </row>
    <row r="230" customFormat="false" ht="15" hidden="false" customHeight="false" outlineLevel="0" collapsed="false">
      <c r="A230" s="13"/>
      <c r="B230" s="13"/>
      <c r="C230" s="13"/>
      <c r="D230" s="13"/>
      <c r="E230" s="13"/>
      <c r="F230" s="14"/>
      <c r="G230" s="13"/>
      <c r="H230" s="13"/>
      <c r="I230" s="13"/>
      <c r="J230" s="13"/>
    </row>
    <row r="231" customFormat="false" ht="15" hidden="false" customHeight="false" outlineLevel="0" collapsed="false">
      <c r="A231" s="13"/>
      <c r="B231" s="13"/>
      <c r="C231" s="13"/>
      <c r="D231" s="13"/>
      <c r="E231" s="13"/>
      <c r="F231" s="14"/>
      <c r="G231" s="13"/>
      <c r="H231" s="13"/>
      <c r="I231" s="13"/>
      <c r="J231" s="13"/>
    </row>
    <row r="232" customFormat="false" ht="15" hidden="false" customHeight="false" outlineLevel="0" collapsed="false">
      <c r="A232" s="13"/>
      <c r="B232" s="13"/>
      <c r="C232" s="13"/>
      <c r="D232" s="13"/>
      <c r="E232" s="13"/>
      <c r="F232" s="14"/>
      <c r="G232" s="13"/>
      <c r="H232" s="13"/>
      <c r="I232" s="13"/>
      <c r="J232" s="13"/>
    </row>
    <row r="233" customFormat="false" ht="15" hidden="false" customHeight="false" outlineLevel="0" collapsed="false">
      <c r="A233" s="13"/>
      <c r="B233" s="13"/>
      <c r="C233" s="13"/>
      <c r="D233" s="13"/>
      <c r="E233" s="13"/>
      <c r="F233" s="14"/>
      <c r="G233" s="13"/>
      <c r="H233" s="13"/>
      <c r="I233" s="13"/>
      <c r="J233" s="13"/>
    </row>
    <row r="234" customFormat="false" ht="15" hidden="false" customHeight="false" outlineLevel="0" collapsed="false">
      <c r="A234" s="13"/>
      <c r="B234" s="13"/>
      <c r="C234" s="13"/>
      <c r="D234" s="13"/>
      <c r="E234" s="13"/>
      <c r="F234" s="14"/>
      <c r="G234" s="13"/>
      <c r="H234" s="13"/>
      <c r="I234" s="13"/>
      <c r="J234" s="13"/>
    </row>
    <row r="235" customFormat="false" ht="15" hidden="false" customHeight="false" outlineLevel="0" collapsed="false">
      <c r="A235" s="13"/>
      <c r="B235" s="13"/>
      <c r="C235" s="13"/>
      <c r="D235" s="13"/>
      <c r="E235" s="13"/>
      <c r="F235" s="14"/>
      <c r="G235" s="13"/>
      <c r="H235" s="13"/>
      <c r="I235" s="13"/>
      <c r="J235" s="13"/>
    </row>
    <row r="236" customFormat="false" ht="15" hidden="false" customHeight="false" outlineLevel="0" collapsed="false">
      <c r="A236" s="13"/>
      <c r="B236" s="13"/>
      <c r="C236" s="13"/>
      <c r="D236" s="13"/>
      <c r="E236" s="13"/>
      <c r="F236" s="14"/>
      <c r="G236" s="13"/>
      <c r="H236" s="13"/>
      <c r="I236" s="13"/>
      <c r="J236" s="13"/>
    </row>
    <row r="237" customFormat="false" ht="15" hidden="false" customHeight="false" outlineLevel="0" collapsed="false">
      <c r="A237" s="13"/>
      <c r="B237" s="13"/>
      <c r="C237" s="13"/>
      <c r="D237" s="13"/>
      <c r="E237" s="13"/>
      <c r="F237" s="14"/>
      <c r="G237" s="13"/>
      <c r="H237" s="13"/>
      <c r="I237" s="13"/>
      <c r="J237" s="13"/>
    </row>
    <row r="238" customFormat="false" ht="15" hidden="false" customHeight="false" outlineLevel="0" collapsed="false">
      <c r="A238" s="13"/>
      <c r="B238" s="13"/>
      <c r="C238" s="13"/>
      <c r="D238" s="13"/>
      <c r="E238" s="13"/>
      <c r="F238" s="14"/>
      <c r="G238" s="13"/>
      <c r="H238" s="13"/>
      <c r="I238" s="13"/>
      <c r="J238" s="13"/>
    </row>
    <row r="239" customFormat="false" ht="15" hidden="false" customHeight="false" outlineLevel="0" collapsed="false">
      <c r="A239" s="13"/>
      <c r="B239" s="13"/>
      <c r="C239" s="13"/>
      <c r="D239" s="13"/>
      <c r="E239" s="13"/>
      <c r="F239" s="14"/>
      <c r="G239" s="13"/>
      <c r="H239" s="13"/>
      <c r="I239" s="13"/>
      <c r="J239" s="13"/>
    </row>
    <row r="240" customFormat="false" ht="15" hidden="false" customHeight="false" outlineLevel="0" collapsed="false">
      <c r="A240" s="13"/>
      <c r="B240" s="13"/>
      <c r="C240" s="13"/>
      <c r="D240" s="13"/>
      <c r="E240" s="13"/>
      <c r="F240" s="14"/>
      <c r="G240" s="13"/>
      <c r="H240" s="13"/>
      <c r="I240" s="13"/>
      <c r="J240" s="13"/>
    </row>
    <row r="241" customFormat="false" ht="15" hidden="false" customHeight="false" outlineLevel="0" collapsed="false">
      <c r="A241" s="13"/>
      <c r="B241" s="13"/>
      <c r="C241" s="13"/>
      <c r="D241" s="13"/>
      <c r="E241" s="13"/>
      <c r="F241" s="14"/>
      <c r="G241" s="13"/>
      <c r="H241" s="13"/>
      <c r="I241" s="13"/>
      <c r="J241" s="13"/>
    </row>
    <row r="242" customFormat="false" ht="15" hidden="false" customHeight="false" outlineLevel="0" collapsed="false">
      <c r="A242" s="13"/>
      <c r="B242" s="13"/>
      <c r="C242" s="13"/>
      <c r="D242" s="13"/>
      <c r="E242" s="13"/>
      <c r="F242" s="14"/>
      <c r="G242" s="13"/>
      <c r="H242" s="13"/>
      <c r="I242" s="13"/>
      <c r="J242" s="13"/>
    </row>
    <row r="243" customFormat="false" ht="15" hidden="false" customHeight="false" outlineLevel="0" collapsed="false">
      <c r="A243" s="13"/>
      <c r="B243" s="13"/>
      <c r="C243" s="13"/>
      <c r="D243" s="13"/>
      <c r="E243" s="13"/>
      <c r="F243" s="14"/>
      <c r="G243" s="13"/>
      <c r="H243" s="13"/>
      <c r="I243" s="13"/>
      <c r="J243" s="13"/>
    </row>
    <row r="244" customFormat="false" ht="15" hidden="false" customHeight="false" outlineLevel="0" collapsed="false">
      <c r="A244" s="13"/>
      <c r="B244" s="13"/>
      <c r="C244" s="13"/>
      <c r="D244" s="13"/>
      <c r="E244" s="13"/>
      <c r="F244" s="14"/>
      <c r="G244" s="13"/>
      <c r="H244" s="13"/>
      <c r="I244" s="13"/>
      <c r="J244" s="13"/>
    </row>
    <row r="245" customFormat="false" ht="15" hidden="false" customHeight="false" outlineLevel="0" collapsed="false">
      <c r="A245" s="13"/>
      <c r="B245" s="13"/>
      <c r="C245" s="13"/>
      <c r="D245" s="13"/>
      <c r="E245" s="13"/>
      <c r="F245" s="14"/>
      <c r="G245" s="13"/>
      <c r="H245" s="13"/>
      <c r="I245" s="13"/>
      <c r="J245" s="13"/>
    </row>
    <row r="246" customFormat="false" ht="15" hidden="false" customHeight="false" outlineLevel="0" collapsed="false">
      <c r="A246" s="13"/>
      <c r="B246" s="13"/>
      <c r="C246" s="13"/>
      <c r="D246" s="13"/>
      <c r="E246" s="13"/>
      <c r="F246" s="14"/>
      <c r="G246" s="13"/>
      <c r="H246" s="13"/>
      <c r="I246" s="13"/>
      <c r="J246" s="13"/>
    </row>
    <row r="247" customFormat="false" ht="15" hidden="false" customHeight="false" outlineLevel="0" collapsed="false">
      <c r="A247" s="13"/>
      <c r="B247" s="13"/>
      <c r="C247" s="13"/>
      <c r="D247" s="13"/>
      <c r="E247" s="13"/>
      <c r="F247" s="14"/>
      <c r="G247" s="13"/>
      <c r="H247" s="13"/>
      <c r="I247" s="13"/>
      <c r="J247" s="13"/>
    </row>
    <row r="248" customFormat="false" ht="15" hidden="false" customHeight="false" outlineLevel="0" collapsed="false">
      <c r="A248" s="13"/>
      <c r="B248" s="13"/>
      <c r="C248" s="13"/>
      <c r="D248" s="13"/>
      <c r="E248" s="13"/>
      <c r="F248" s="14"/>
      <c r="G248" s="13"/>
      <c r="H248" s="13"/>
      <c r="I248" s="13"/>
      <c r="J248" s="13"/>
    </row>
    <row r="249" customFormat="false" ht="15" hidden="false" customHeight="false" outlineLevel="0" collapsed="false">
      <c r="A249" s="13"/>
      <c r="B249" s="13"/>
      <c r="C249" s="13"/>
      <c r="D249" s="13"/>
      <c r="E249" s="13"/>
      <c r="F249" s="14"/>
      <c r="G249" s="13"/>
      <c r="H249" s="13"/>
      <c r="I249" s="13"/>
      <c r="J249" s="13"/>
    </row>
    <row r="250" customFormat="false" ht="15" hidden="false" customHeight="false" outlineLevel="0" collapsed="false">
      <c r="A250" s="13"/>
      <c r="B250" s="13"/>
      <c r="C250" s="13"/>
      <c r="D250" s="13"/>
      <c r="E250" s="13"/>
      <c r="F250" s="14"/>
      <c r="G250" s="13"/>
      <c r="H250" s="13"/>
      <c r="I250" s="13"/>
      <c r="J250" s="13"/>
    </row>
    <row r="251" customFormat="false" ht="15" hidden="false" customHeight="false" outlineLevel="0" collapsed="false">
      <c r="A251" s="13"/>
      <c r="B251" s="13"/>
      <c r="C251" s="13"/>
      <c r="D251" s="13"/>
      <c r="E251" s="13"/>
      <c r="F251" s="14"/>
      <c r="G251" s="13"/>
      <c r="H251" s="13"/>
      <c r="I251" s="13"/>
      <c r="J251" s="13"/>
    </row>
    <row r="252" customFormat="false" ht="15" hidden="false" customHeight="false" outlineLevel="0" collapsed="false">
      <c r="A252" s="13"/>
      <c r="B252" s="13"/>
      <c r="C252" s="13"/>
      <c r="D252" s="13"/>
      <c r="E252" s="13"/>
      <c r="F252" s="14"/>
      <c r="G252" s="13"/>
      <c r="H252" s="13"/>
      <c r="I252" s="13"/>
      <c r="J252" s="13"/>
    </row>
    <row r="253" customFormat="false" ht="15" hidden="false" customHeight="false" outlineLevel="0" collapsed="false">
      <c r="A253" s="13"/>
      <c r="B253" s="13"/>
      <c r="C253" s="13"/>
      <c r="D253" s="13"/>
      <c r="E253" s="13"/>
      <c r="F253" s="14"/>
      <c r="G253" s="13"/>
      <c r="H253" s="13"/>
      <c r="I253" s="13"/>
      <c r="J253" s="13"/>
    </row>
    <row r="254" customFormat="false" ht="15" hidden="false" customHeight="false" outlineLevel="0" collapsed="false">
      <c r="A254" s="13"/>
      <c r="B254" s="13"/>
      <c r="C254" s="13"/>
      <c r="D254" s="13"/>
      <c r="E254" s="13"/>
      <c r="F254" s="14"/>
      <c r="G254" s="13"/>
      <c r="H254" s="13"/>
      <c r="I254" s="13"/>
      <c r="J254" s="13"/>
    </row>
    <row r="255" customFormat="false" ht="15" hidden="false" customHeight="false" outlineLevel="0" collapsed="false">
      <c r="A255" s="13"/>
      <c r="B255" s="13"/>
      <c r="C255" s="13"/>
      <c r="D255" s="13"/>
      <c r="E255" s="13"/>
      <c r="F255" s="14"/>
      <c r="G255" s="13"/>
      <c r="H255" s="13"/>
      <c r="I255" s="13"/>
      <c r="J255" s="13"/>
    </row>
    <row r="256" customFormat="false" ht="15" hidden="false" customHeight="false" outlineLevel="0" collapsed="false">
      <c r="A256" s="13"/>
      <c r="B256" s="13"/>
      <c r="C256" s="13"/>
      <c r="D256" s="13"/>
      <c r="E256" s="13"/>
      <c r="F256" s="14"/>
      <c r="G256" s="13"/>
      <c r="H256" s="13"/>
      <c r="I256" s="13"/>
      <c r="J256" s="13"/>
    </row>
    <row r="257" customFormat="false" ht="15" hidden="false" customHeight="false" outlineLevel="0" collapsed="false">
      <c r="A257" s="13"/>
      <c r="B257" s="13"/>
      <c r="C257" s="13"/>
      <c r="D257" s="13"/>
      <c r="E257" s="13"/>
      <c r="F257" s="14"/>
      <c r="G257" s="13"/>
      <c r="H257" s="13"/>
      <c r="I257" s="13"/>
      <c r="J257" s="13"/>
    </row>
    <row r="258" customFormat="false" ht="15" hidden="false" customHeight="false" outlineLevel="0" collapsed="false">
      <c r="A258" s="13"/>
      <c r="B258" s="13"/>
      <c r="C258" s="13"/>
      <c r="D258" s="13"/>
      <c r="E258" s="13"/>
      <c r="F258" s="14"/>
      <c r="G258" s="13"/>
      <c r="H258" s="13"/>
      <c r="I258" s="13"/>
      <c r="J258" s="13"/>
    </row>
    <row r="259" customFormat="false" ht="15" hidden="false" customHeight="false" outlineLevel="0" collapsed="false">
      <c r="A259" s="13"/>
      <c r="B259" s="13"/>
      <c r="C259" s="13"/>
      <c r="D259" s="13"/>
      <c r="E259" s="13"/>
      <c r="F259" s="14"/>
      <c r="G259" s="13"/>
      <c r="H259" s="13"/>
      <c r="I259" s="13"/>
      <c r="J259" s="13"/>
    </row>
    <row r="260" customFormat="false" ht="15" hidden="false" customHeight="false" outlineLevel="0" collapsed="false">
      <c r="A260" s="13"/>
      <c r="B260" s="13"/>
      <c r="C260" s="13"/>
      <c r="D260" s="13"/>
      <c r="E260" s="13"/>
      <c r="F260" s="14"/>
      <c r="G260" s="13"/>
      <c r="H260" s="13"/>
      <c r="I260" s="13"/>
      <c r="J260" s="13"/>
    </row>
    <row r="261" customFormat="false" ht="15" hidden="false" customHeight="false" outlineLevel="0" collapsed="false">
      <c r="A261" s="13"/>
      <c r="B261" s="13"/>
      <c r="C261" s="13"/>
      <c r="D261" s="13"/>
      <c r="E261" s="13"/>
      <c r="F261" s="14"/>
      <c r="G261" s="13"/>
      <c r="H261" s="13"/>
      <c r="I261" s="13"/>
      <c r="J261" s="13"/>
    </row>
    <row r="262" customFormat="false" ht="15" hidden="false" customHeight="false" outlineLevel="0" collapsed="false">
      <c r="A262" s="13"/>
      <c r="B262" s="13"/>
      <c r="C262" s="13"/>
      <c r="D262" s="13"/>
      <c r="E262" s="13"/>
      <c r="F262" s="14"/>
      <c r="G262" s="13"/>
      <c r="H262" s="13"/>
      <c r="I262" s="13"/>
      <c r="J262" s="13"/>
    </row>
    <row r="263" customFormat="false" ht="15" hidden="false" customHeight="false" outlineLevel="0" collapsed="false">
      <c r="A263" s="13"/>
      <c r="B263" s="13"/>
      <c r="C263" s="13"/>
      <c r="D263" s="13"/>
      <c r="E263" s="13"/>
      <c r="F263" s="14"/>
      <c r="G263" s="13"/>
      <c r="H263" s="13"/>
      <c r="I263" s="13"/>
      <c r="J263" s="13"/>
    </row>
    <row r="264" customFormat="false" ht="15" hidden="false" customHeight="false" outlineLevel="0" collapsed="false">
      <c r="A264" s="13"/>
      <c r="B264" s="13"/>
      <c r="C264" s="13"/>
      <c r="D264" s="13"/>
      <c r="E264" s="13"/>
      <c r="F264" s="14"/>
      <c r="G264" s="13"/>
      <c r="H264" s="13"/>
      <c r="I264" s="13"/>
      <c r="J264" s="13"/>
    </row>
    <row r="265" customFormat="false" ht="15" hidden="false" customHeight="false" outlineLevel="0" collapsed="false">
      <c r="A265" s="13"/>
      <c r="B265" s="13"/>
      <c r="C265" s="13"/>
      <c r="D265" s="13"/>
      <c r="E265" s="13"/>
      <c r="F265" s="14"/>
      <c r="G265" s="13"/>
      <c r="H265" s="13"/>
      <c r="I265" s="13"/>
      <c r="J265" s="13"/>
    </row>
    <row r="266" customFormat="false" ht="15" hidden="false" customHeight="false" outlineLevel="0" collapsed="false">
      <c r="A266" s="13"/>
      <c r="B266" s="13"/>
      <c r="C266" s="13"/>
      <c r="D266" s="13"/>
      <c r="E266" s="13"/>
      <c r="F266" s="14"/>
      <c r="G266" s="13"/>
      <c r="H266" s="13"/>
      <c r="I266" s="13"/>
      <c r="J266" s="13"/>
    </row>
    <row r="267" customFormat="false" ht="15" hidden="false" customHeight="false" outlineLevel="0" collapsed="false">
      <c r="A267" s="13"/>
      <c r="B267" s="13"/>
      <c r="C267" s="13"/>
      <c r="D267" s="13"/>
      <c r="E267" s="13"/>
      <c r="F267" s="14"/>
      <c r="G267" s="13"/>
      <c r="H267" s="13"/>
      <c r="I267" s="13"/>
      <c r="J267" s="13"/>
    </row>
    <row r="268" customFormat="false" ht="15" hidden="false" customHeight="false" outlineLevel="0" collapsed="false">
      <c r="A268" s="13"/>
      <c r="B268" s="13"/>
      <c r="C268" s="13"/>
      <c r="D268" s="13"/>
      <c r="E268" s="13"/>
      <c r="F268" s="14"/>
      <c r="G268" s="13"/>
      <c r="H268" s="13"/>
      <c r="I268" s="13"/>
      <c r="J268" s="13"/>
    </row>
    <row r="269" customFormat="false" ht="15" hidden="false" customHeight="false" outlineLevel="0" collapsed="false">
      <c r="A269" s="13"/>
      <c r="B269" s="13"/>
      <c r="C269" s="13"/>
      <c r="D269" s="13"/>
      <c r="E269" s="13"/>
      <c r="F269" s="14"/>
      <c r="G269" s="13"/>
      <c r="H269" s="13"/>
      <c r="I269" s="13"/>
      <c r="J269" s="13"/>
    </row>
    <row r="270" customFormat="false" ht="15" hidden="false" customHeight="false" outlineLevel="0" collapsed="false">
      <c r="A270" s="13"/>
      <c r="B270" s="13"/>
      <c r="C270" s="13"/>
      <c r="D270" s="13"/>
      <c r="E270" s="13"/>
      <c r="F270" s="14"/>
      <c r="G270" s="13"/>
      <c r="H270" s="13"/>
      <c r="I270" s="13"/>
      <c r="J270" s="13"/>
    </row>
    <row r="271" customFormat="false" ht="15" hidden="false" customHeight="false" outlineLevel="0" collapsed="false">
      <c r="A271" s="13"/>
      <c r="B271" s="13"/>
      <c r="C271" s="13"/>
      <c r="D271" s="13"/>
      <c r="E271" s="13"/>
      <c r="F271" s="14"/>
      <c r="G271" s="13"/>
      <c r="H271" s="13"/>
      <c r="I271" s="13"/>
      <c r="J271" s="13"/>
    </row>
    <row r="272" customFormat="false" ht="15" hidden="false" customHeight="false" outlineLevel="0" collapsed="false">
      <c r="A272" s="13"/>
      <c r="B272" s="13"/>
      <c r="C272" s="13"/>
      <c r="D272" s="13"/>
      <c r="E272" s="13"/>
      <c r="F272" s="14"/>
      <c r="G272" s="13"/>
      <c r="H272" s="13"/>
      <c r="I272" s="13"/>
      <c r="J272" s="13"/>
    </row>
    <row r="273" customFormat="false" ht="15" hidden="false" customHeight="false" outlineLevel="0" collapsed="false">
      <c r="A273" s="13"/>
      <c r="B273" s="13"/>
      <c r="C273" s="13"/>
      <c r="D273" s="13"/>
      <c r="E273" s="13"/>
      <c r="F273" s="14"/>
      <c r="G273" s="13"/>
      <c r="H273" s="13"/>
      <c r="I273" s="13"/>
      <c r="J273" s="13"/>
    </row>
    <row r="274" customFormat="false" ht="15" hidden="false" customHeight="false" outlineLevel="0" collapsed="false">
      <c r="A274" s="13"/>
      <c r="B274" s="13"/>
      <c r="C274" s="13"/>
      <c r="D274" s="13"/>
      <c r="E274" s="13"/>
      <c r="F274" s="14"/>
      <c r="G274" s="13"/>
      <c r="H274" s="13"/>
      <c r="I274" s="13"/>
      <c r="J274" s="13"/>
    </row>
    <row r="275" customFormat="false" ht="15" hidden="false" customHeight="false" outlineLevel="0" collapsed="false">
      <c r="A275" s="13"/>
      <c r="B275" s="13"/>
      <c r="C275" s="13"/>
      <c r="D275" s="13"/>
      <c r="E275" s="13"/>
      <c r="F275" s="14"/>
      <c r="G275" s="13"/>
      <c r="H275" s="13"/>
      <c r="I275" s="13"/>
      <c r="J275" s="13"/>
    </row>
    <row r="276" customFormat="false" ht="15" hidden="false" customHeight="false" outlineLevel="0" collapsed="false">
      <c r="A276" s="13"/>
      <c r="B276" s="13"/>
      <c r="C276" s="13"/>
      <c r="D276" s="13"/>
      <c r="E276" s="13"/>
      <c r="F276" s="14"/>
      <c r="G276" s="13"/>
      <c r="H276" s="13"/>
      <c r="I276" s="13"/>
      <c r="J276" s="13"/>
    </row>
    <row r="277" customFormat="false" ht="15" hidden="false" customHeight="false" outlineLevel="0" collapsed="false">
      <c r="A277" s="13"/>
      <c r="B277" s="13"/>
      <c r="C277" s="13"/>
      <c r="D277" s="13"/>
      <c r="E277" s="13"/>
      <c r="F277" s="14"/>
      <c r="G277" s="13"/>
      <c r="H277" s="13"/>
      <c r="I277" s="13"/>
      <c r="J277" s="13"/>
    </row>
    <row r="278" customFormat="false" ht="15" hidden="false" customHeight="false" outlineLevel="0" collapsed="false">
      <c r="A278" s="13"/>
      <c r="B278" s="13"/>
      <c r="C278" s="13"/>
      <c r="D278" s="13"/>
      <c r="E278" s="13"/>
      <c r="F278" s="14"/>
      <c r="G278" s="13"/>
      <c r="H278" s="13"/>
      <c r="I278" s="13"/>
      <c r="J278" s="13"/>
    </row>
    <row r="279" customFormat="false" ht="15" hidden="false" customHeight="false" outlineLevel="0" collapsed="false">
      <c r="A279" s="13"/>
      <c r="B279" s="13"/>
      <c r="C279" s="13"/>
      <c r="D279" s="13"/>
      <c r="E279" s="13"/>
      <c r="F279" s="14"/>
      <c r="G279" s="13"/>
      <c r="H279" s="13"/>
      <c r="I279" s="13"/>
      <c r="J279" s="13"/>
    </row>
    <row r="280" customFormat="false" ht="15" hidden="false" customHeight="false" outlineLevel="0" collapsed="false">
      <c r="A280" s="13"/>
      <c r="B280" s="13"/>
      <c r="C280" s="13"/>
      <c r="D280" s="13"/>
      <c r="E280" s="13"/>
      <c r="F280" s="14"/>
      <c r="G280" s="13"/>
      <c r="H280" s="13"/>
      <c r="I280" s="13"/>
      <c r="J280" s="13"/>
    </row>
    <row r="281" customFormat="false" ht="15" hidden="false" customHeight="false" outlineLevel="0" collapsed="false">
      <c r="A281" s="13"/>
      <c r="B281" s="13"/>
      <c r="C281" s="13"/>
      <c r="D281" s="13"/>
      <c r="E281" s="13"/>
      <c r="F281" s="14"/>
      <c r="G281" s="13"/>
      <c r="H281" s="13"/>
      <c r="I281" s="13"/>
      <c r="J281" s="13"/>
    </row>
    <row r="282" customFormat="false" ht="15" hidden="false" customHeight="false" outlineLevel="0" collapsed="false">
      <c r="A282" s="13"/>
      <c r="B282" s="13"/>
      <c r="C282" s="13"/>
      <c r="D282" s="13"/>
      <c r="E282" s="13"/>
      <c r="F282" s="14"/>
      <c r="G282" s="13"/>
      <c r="H282" s="13"/>
      <c r="I282" s="13"/>
      <c r="J282" s="13"/>
    </row>
    <row r="283" customFormat="false" ht="15" hidden="false" customHeight="false" outlineLevel="0" collapsed="false">
      <c r="A283" s="13"/>
      <c r="B283" s="13"/>
      <c r="C283" s="13"/>
      <c r="D283" s="13"/>
      <c r="E283" s="13"/>
      <c r="F283" s="14"/>
      <c r="G283" s="13"/>
      <c r="H283" s="13"/>
      <c r="I283" s="13"/>
      <c r="J283" s="13"/>
    </row>
    <row r="284" customFormat="false" ht="15" hidden="false" customHeight="false" outlineLevel="0" collapsed="false">
      <c r="A284" s="13"/>
      <c r="B284" s="13"/>
      <c r="C284" s="13"/>
      <c r="D284" s="13"/>
      <c r="E284" s="13"/>
      <c r="F284" s="14"/>
      <c r="G284" s="13"/>
      <c r="H284" s="13"/>
      <c r="I284" s="13"/>
      <c r="J284" s="13"/>
    </row>
    <row r="285" customFormat="false" ht="15" hidden="false" customHeight="false" outlineLevel="0" collapsed="false">
      <c r="A285" s="13"/>
      <c r="B285" s="13"/>
      <c r="C285" s="13"/>
      <c r="D285" s="13"/>
      <c r="E285" s="13"/>
      <c r="F285" s="14"/>
      <c r="G285" s="13"/>
      <c r="H285" s="13"/>
      <c r="I285" s="13"/>
      <c r="J285" s="13"/>
    </row>
    <row r="286" customFormat="false" ht="15" hidden="false" customHeight="false" outlineLevel="0" collapsed="false">
      <c r="A286" s="13"/>
      <c r="B286" s="13"/>
      <c r="C286" s="13"/>
      <c r="D286" s="13"/>
      <c r="E286" s="13"/>
      <c r="F286" s="14"/>
      <c r="G286" s="13"/>
      <c r="H286" s="13"/>
      <c r="I286" s="13"/>
      <c r="J286" s="13"/>
    </row>
    <row r="287" customFormat="false" ht="15" hidden="false" customHeight="false" outlineLevel="0" collapsed="false">
      <c r="A287" s="13"/>
      <c r="B287" s="13"/>
      <c r="C287" s="13"/>
      <c r="D287" s="13"/>
      <c r="E287" s="13"/>
      <c r="F287" s="14"/>
      <c r="G287" s="13"/>
      <c r="H287" s="13"/>
      <c r="I287" s="13"/>
      <c r="J287" s="13"/>
    </row>
    <row r="288" customFormat="false" ht="15" hidden="false" customHeight="false" outlineLevel="0" collapsed="false">
      <c r="A288" s="13"/>
      <c r="B288" s="13"/>
      <c r="C288" s="13"/>
      <c r="D288" s="13"/>
      <c r="E288" s="13"/>
      <c r="F288" s="14"/>
      <c r="G288" s="13"/>
      <c r="H288" s="13"/>
      <c r="I288" s="13"/>
      <c r="J288" s="13"/>
    </row>
    <row r="289" customFormat="false" ht="15" hidden="false" customHeight="false" outlineLevel="0" collapsed="false">
      <c r="A289" s="13"/>
      <c r="B289" s="13"/>
      <c r="C289" s="13"/>
      <c r="D289" s="13"/>
      <c r="E289" s="13"/>
      <c r="F289" s="14"/>
      <c r="G289" s="13"/>
      <c r="H289" s="13"/>
      <c r="I289" s="13"/>
      <c r="J289" s="13"/>
    </row>
    <row r="290" customFormat="false" ht="15" hidden="false" customHeight="false" outlineLevel="0" collapsed="false">
      <c r="A290" s="13"/>
      <c r="B290" s="13"/>
      <c r="C290" s="13"/>
      <c r="D290" s="13"/>
      <c r="E290" s="13"/>
      <c r="F290" s="14"/>
      <c r="G290" s="13"/>
      <c r="H290" s="13"/>
      <c r="I290" s="13"/>
      <c r="J290" s="13"/>
    </row>
    <row r="291" customFormat="false" ht="15" hidden="false" customHeight="false" outlineLevel="0" collapsed="false">
      <c r="A291" s="13"/>
      <c r="B291" s="13"/>
      <c r="C291" s="13"/>
      <c r="D291" s="13"/>
      <c r="E291" s="13"/>
      <c r="F291" s="14"/>
      <c r="G291" s="13"/>
      <c r="H291" s="13"/>
      <c r="I291" s="13"/>
      <c r="J291" s="13"/>
    </row>
    <row r="292" customFormat="false" ht="15" hidden="false" customHeight="false" outlineLevel="0" collapsed="false">
      <c r="A292" s="13"/>
      <c r="B292" s="13"/>
      <c r="C292" s="13"/>
      <c r="D292" s="13"/>
      <c r="E292" s="13"/>
      <c r="F292" s="14"/>
      <c r="G292" s="13"/>
      <c r="H292" s="13"/>
      <c r="I292" s="13"/>
      <c r="J292" s="13"/>
    </row>
    <row r="293" customFormat="false" ht="15" hidden="false" customHeight="false" outlineLevel="0" collapsed="false">
      <c r="A293" s="13"/>
      <c r="B293" s="13"/>
      <c r="C293" s="13"/>
      <c r="D293" s="13"/>
      <c r="E293" s="13"/>
      <c r="F293" s="14"/>
      <c r="G293" s="13"/>
      <c r="H293" s="13"/>
      <c r="I293" s="13"/>
      <c r="J293" s="13"/>
    </row>
    <row r="294" customFormat="false" ht="15" hidden="false" customHeight="false" outlineLevel="0" collapsed="false">
      <c r="A294" s="13"/>
      <c r="B294" s="13"/>
      <c r="C294" s="13"/>
      <c r="D294" s="13"/>
      <c r="E294" s="13"/>
      <c r="F294" s="14"/>
      <c r="G294" s="13"/>
      <c r="H294" s="13"/>
      <c r="I294" s="13"/>
      <c r="J294" s="13"/>
    </row>
    <row r="295" customFormat="false" ht="15" hidden="false" customHeight="false" outlineLevel="0" collapsed="false">
      <c r="A295" s="13"/>
      <c r="B295" s="13"/>
      <c r="C295" s="13"/>
      <c r="D295" s="13"/>
      <c r="E295" s="13"/>
      <c r="F295" s="14"/>
      <c r="G295" s="13"/>
      <c r="H295" s="13"/>
      <c r="I295" s="13"/>
      <c r="J295" s="13"/>
    </row>
    <row r="296" customFormat="false" ht="15" hidden="false" customHeight="false" outlineLevel="0" collapsed="false">
      <c r="A296" s="13"/>
      <c r="B296" s="13"/>
      <c r="C296" s="13"/>
      <c r="D296" s="13"/>
      <c r="E296" s="13"/>
      <c r="F296" s="14"/>
      <c r="G296" s="13"/>
      <c r="H296" s="13"/>
      <c r="I296" s="13"/>
      <c r="J296" s="13"/>
    </row>
    <row r="297" customFormat="false" ht="15" hidden="false" customHeight="false" outlineLevel="0" collapsed="false">
      <c r="A297" s="13"/>
      <c r="B297" s="13"/>
      <c r="C297" s="13"/>
      <c r="D297" s="13"/>
      <c r="E297" s="13"/>
      <c r="F297" s="14"/>
      <c r="G297" s="13"/>
      <c r="H297" s="13"/>
      <c r="I297" s="13"/>
      <c r="J297" s="13"/>
    </row>
    <row r="298" customFormat="false" ht="15" hidden="false" customHeight="false" outlineLevel="0" collapsed="false">
      <c r="A298" s="13"/>
      <c r="B298" s="13"/>
      <c r="C298" s="13"/>
      <c r="D298" s="13"/>
      <c r="E298" s="13"/>
      <c r="F298" s="14"/>
      <c r="G298" s="13"/>
      <c r="H298" s="13"/>
      <c r="I298" s="13"/>
      <c r="J298" s="13"/>
    </row>
    <row r="299" customFormat="false" ht="15" hidden="false" customHeight="false" outlineLevel="0" collapsed="false">
      <c r="A299" s="13"/>
      <c r="B299" s="13"/>
      <c r="C299" s="13"/>
      <c r="D299" s="13"/>
      <c r="E299" s="13"/>
      <c r="F299" s="14"/>
      <c r="G299" s="13"/>
      <c r="H299" s="13"/>
      <c r="I299" s="13"/>
      <c r="J299" s="13"/>
    </row>
    <row r="300" customFormat="false" ht="15" hidden="false" customHeight="false" outlineLevel="0" collapsed="false">
      <c r="A300" s="13"/>
      <c r="B300" s="13"/>
      <c r="C300" s="13"/>
      <c r="D300" s="13"/>
      <c r="E300" s="13"/>
      <c r="F300" s="14"/>
      <c r="G300" s="13"/>
      <c r="H300" s="13"/>
      <c r="I300" s="13"/>
      <c r="J300" s="13"/>
    </row>
    <row r="301" customFormat="false" ht="15" hidden="false" customHeight="false" outlineLevel="0" collapsed="false">
      <c r="A301" s="13"/>
      <c r="B301" s="13"/>
      <c r="C301" s="13"/>
      <c r="D301" s="13"/>
      <c r="E301" s="13"/>
      <c r="F301" s="14"/>
      <c r="G301" s="13"/>
      <c r="H301" s="13"/>
      <c r="I301" s="13"/>
      <c r="J301" s="13"/>
    </row>
    <row r="302" customFormat="false" ht="15" hidden="false" customHeight="false" outlineLevel="0" collapsed="false">
      <c r="A302" s="13"/>
      <c r="B302" s="13"/>
      <c r="C302" s="13"/>
      <c r="D302" s="13"/>
      <c r="E302" s="13"/>
      <c r="F302" s="14"/>
      <c r="G302" s="13"/>
      <c r="H302" s="13"/>
      <c r="I302" s="13"/>
      <c r="J302" s="13"/>
    </row>
    <row r="303" customFormat="false" ht="15" hidden="false" customHeight="false" outlineLevel="0" collapsed="false">
      <c r="A303" s="13"/>
      <c r="B303" s="13"/>
      <c r="C303" s="13"/>
      <c r="D303" s="13"/>
      <c r="E303" s="13"/>
      <c r="F303" s="14"/>
      <c r="G303" s="13"/>
      <c r="H303" s="13"/>
      <c r="I303" s="13"/>
      <c r="J303" s="13"/>
    </row>
    <row r="304" customFormat="false" ht="15" hidden="false" customHeight="false" outlineLevel="0" collapsed="false">
      <c r="A304" s="13"/>
      <c r="B304" s="13"/>
      <c r="C304" s="13"/>
      <c r="D304" s="13"/>
      <c r="E304" s="13"/>
      <c r="F304" s="14"/>
      <c r="G304" s="13"/>
      <c r="H304" s="13"/>
      <c r="I304" s="13"/>
      <c r="J304" s="13"/>
    </row>
    <row r="305" customFormat="false" ht="15" hidden="false" customHeight="false" outlineLevel="0" collapsed="false">
      <c r="A305" s="13"/>
      <c r="B305" s="13"/>
      <c r="C305" s="13"/>
      <c r="D305" s="13"/>
      <c r="E305" s="13"/>
      <c r="F305" s="14"/>
      <c r="G305" s="13"/>
      <c r="H305" s="13"/>
      <c r="I305" s="13"/>
      <c r="J305" s="13"/>
    </row>
    <row r="306" customFormat="false" ht="15" hidden="false" customHeight="false" outlineLevel="0" collapsed="false">
      <c r="A306" s="13"/>
      <c r="B306" s="13"/>
      <c r="C306" s="13"/>
      <c r="D306" s="13"/>
      <c r="E306" s="13"/>
      <c r="F306" s="14"/>
      <c r="G306" s="13"/>
      <c r="H306" s="13"/>
      <c r="I306" s="13"/>
      <c r="J306" s="13"/>
    </row>
    <row r="307" customFormat="false" ht="15" hidden="false" customHeight="false" outlineLevel="0" collapsed="false">
      <c r="A307" s="13"/>
      <c r="B307" s="13"/>
      <c r="C307" s="13"/>
      <c r="D307" s="13"/>
      <c r="E307" s="13"/>
      <c r="F307" s="14"/>
      <c r="G307" s="13"/>
      <c r="H307" s="13"/>
      <c r="I307" s="13"/>
      <c r="J307" s="13"/>
    </row>
    <row r="308" customFormat="false" ht="15" hidden="false" customHeight="false" outlineLevel="0" collapsed="false">
      <c r="A308" s="13"/>
      <c r="B308" s="13"/>
      <c r="C308" s="13"/>
      <c r="D308" s="13"/>
      <c r="E308" s="13"/>
      <c r="F308" s="14"/>
      <c r="G308" s="13"/>
      <c r="H308" s="13"/>
      <c r="I308" s="13"/>
      <c r="J308" s="13"/>
    </row>
    <row r="309" customFormat="false" ht="15" hidden="false" customHeight="false" outlineLevel="0" collapsed="false">
      <c r="A309" s="13"/>
      <c r="B309" s="13"/>
      <c r="C309" s="13"/>
      <c r="D309" s="13"/>
      <c r="E309" s="13"/>
      <c r="F309" s="14"/>
      <c r="G309" s="13"/>
      <c r="H309" s="13"/>
      <c r="I309" s="13"/>
      <c r="J309" s="13"/>
    </row>
    <row r="310" customFormat="false" ht="15" hidden="false" customHeight="false" outlineLevel="0" collapsed="false">
      <c r="A310" s="13"/>
      <c r="B310" s="13"/>
      <c r="C310" s="13"/>
      <c r="D310" s="13"/>
      <c r="E310" s="13"/>
      <c r="F310" s="14"/>
      <c r="G310" s="13"/>
      <c r="H310" s="13"/>
      <c r="I310" s="13"/>
      <c r="J310" s="13"/>
    </row>
    <row r="311" customFormat="false" ht="15" hidden="false" customHeight="false" outlineLevel="0" collapsed="false">
      <c r="A311" s="13"/>
      <c r="B311" s="13"/>
      <c r="C311" s="13"/>
      <c r="D311" s="13"/>
      <c r="E311" s="13"/>
      <c r="F311" s="14"/>
      <c r="G311" s="13"/>
      <c r="H311" s="13"/>
      <c r="I311" s="13"/>
      <c r="J311" s="13"/>
    </row>
    <row r="312" customFormat="false" ht="15" hidden="false" customHeight="false" outlineLevel="0" collapsed="false">
      <c r="A312" s="13"/>
      <c r="B312" s="13"/>
      <c r="C312" s="13"/>
      <c r="D312" s="13"/>
      <c r="E312" s="13"/>
      <c r="F312" s="14"/>
      <c r="G312" s="13"/>
      <c r="H312" s="13"/>
      <c r="I312" s="13"/>
      <c r="J312" s="13"/>
    </row>
    <row r="313" customFormat="false" ht="15" hidden="false" customHeight="false" outlineLevel="0" collapsed="false">
      <c r="A313" s="13"/>
      <c r="B313" s="13"/>
      <c r="C313" s="13"/>
      <c r="D313" s="13"/>
      <c r="E313" s="13"/>
      <c r="F313" s="14"/>
      <c r="G313" s="13"/>
      <c r="H313" s="13"/>
      <c r="I313" s="13"/>
      <c r="J313" s="13"/>
    </row>
    <row r="314" customFormat="false" ht="15" hidden="false" customHeight="false" outlineLevel="0" collapsed="false">
      <c r="A314" s="13"/>
      <c r="B314" s="13"/>
      <c r="C314" s="13"/>
      <c r="D314" s="13"/>
      <c r="E314" s="13"/>
      <c r="F314" s="14"/>
      <c r="G314" s="13"/>
      <c r="H314" s="13"/>
      <c r="I314" s="13"/>
      <c r="J314" s="13"/>
    </row>
    <row r="315" customFormat="false" ht="15" hidden="false" customHeight="false" outlineLevel="0" collapsed="false">
      <c r="A315" s="13"/>
      <c r="B315" s="13"/>
      <c r="C315" s="13"/>
      <c r="D315" s="13"/>
      <c r="E315" s="13"/>
      <c r="F315" s="14"/>
      <c r="G315" s="13"/>
      <c r="H315" s="13"/>
      <c r="I315" s="13"/>
      <c r="J315" s="13"/>
    </row>
    <row r="316" customFormat="false" ht="15" hidden="false" customHeight="false" outlineLevel="0" collapsed="false">
      <c r="A316" s="13"/>
      <c r="B316" s="13"/>
      <c r="C316" s="13"/>
      <c r="D316" s="13"/>
      <c r="E316" s="13"/>
      <c r="F316" s="14"/>
      <c r="G316" s="13"/>
      <c r="H316" s="13"/>
      <c r="I316" s="13"/>
      <c r="J316" s="13"/>
    </row>
    <row r="317" customFormat="false" ht="15" hidden="false" customHeight="false" outlineLevel="0" collapsed="false">
      <c r="A317" s="13"/>
      <c r="B317" s="13"/>
      <c r="C317" s="13"/>
      <c r="D317" s="13"/>
      <c r="E317" s="13"/>
      <c r="F317" s="14"/>
      <c r="G317" s="13"/>
      <c r="H317" s="13"/>
      <c r="I317" s="13"/>
      <c r="J317" s="13"/>
    </row>
    <row r="318" customFormat="false" ht="15" hidden="false" customHeight="false" outlineLevel="0" collapsed="false">
      <c r="A318" s="13"/>
      <c r="B318" s="13"/>
      <c r="C318" s="13"/>
      <c r="D318" s="13"/>
      <c r="E318" s="13"/>
      <c r="F318" s="14"/>
      <c r="G318" s="13"/>
      <c r="H318" s="13"/>
      <c r="I318" s="13"/>
      <c r="J318" s="13"/>
    </row>
    <row r="319" customFormat="false" ht="15" hidden="false" customHeight="false" outlineLevel="0" collapsed="false">
      <c r="A319" s="13"/>
      <c r="B319" s="13"/>
      <c r="C319" s="13"/>
      <c r="D319" s="13"/>
      <c r="E319" s="13"/>
      <c r="F319" s="14"/>
      <c r="G319" s="13"/>
      <c r="H319" s="13"/>
      <c r="I319" s="13"/>
      <c r="J319" s="13"/>
    </row>
    <row r="320" customFormat="false" ht="15" hidden="false" customHeight="false" outlineLevel="0" collapsed="false">
      <c r="A320" s="13"/>
      <c r="B320" s="13"/>
      <c r="C320" s="13"/>
      <c r="D320" s="13"/>
      <c r="E320" s="13"/>
      <c r="F320" s="14"/>
      <c r="G320" s="13"/>
      <c r="H320" s="13"/>
      <c r="I320" s="13"/>
      <c r="J320" s="13"/>
    </row>
    <row r="321" customFormat="false" ht="15" hidden="false" customHeight="false" outlineLevel="0" collapsed="false">
      <c r="A321" s="13"/>
      <c r="B321" s="13"/>
      <c r="C321" s="13"/>
      <c r="D321" s="13"/>
      <c r="E321" s="13"/>
      <c r="F321" s="14"/>
      <c r="G321" s="13"/>
      <c r="H321" s="13"/>
      <c r="I321" s="13"/>
      <c r="J321" s="13"/>
    </row>
    <row r="322" customFormat="false" ht="15" hidden="false" customHeight="false" outlineLevel="0" collapsed="false">
      <c r="A322" s="13"/>
      <c r="B322" s="13"/>
      <c r="C322" s="13"/>
      <c r="D322" s="13"/>
      <c r="E322" s="13"/>
      <c r="F322" s="14"/>
      <c r="G322" s="13"/>
      <c r="H322" s="13"/>
      <c r="I322" s="13"/>
      <c r="J322" s="13"/>
    </row>
    <row r="323" customFormat="false" ht="15" hidden="false" customHeight="false" outlineLevel="0" collapsed="false">
      <c r="A323" s="13"/>
      <c r="B323" s="13"/>
      <c r="C323" s="13"/>
      <c r="D323" s="13"/>
      <c r="E323" s="13"/>
      <c r="F323" s="14"/>
      <c r="G323" s="13"/>
      <c r="H323" s="13"/>
      <c r="I323" s="13"/>
      <c r="J323" s="13"/>
    </row>
    <row r="324" customFormat="false" ht="15" hidden="false" customHeight="false" outlineLevel="0" collapsed="false">
      <c r="A324" s="13"/>
      <c r="B324" s="13"/>
      <c r="C324" s="13"/>
      <c r="D324" s="13"/>
      <c r="E324" s="13"/>
      <c r="F324" s="14"/>
      <c r="G324" s="13"/>
      <c r="H324" s="13"/>
      <c r="I324" s="13"/>
      <c r="J324" s="13"/>
    </row>
    <row r="325" customFormat="false" ht="15" hidden="false" customHeight="false" outlineLevel="0" collapsed="false">
      <c r="A325" s="13"/>
      <c r="B325" s="13"/>
      <c r="C325" s="13"/>
      <c r="D325" s="13"/>
      <c r="E325" s="13"/>
      <c r="F325" s="14"/>
      <c r="G325" s="13"/>
      <c r="H325" s="13"/>
      <c r="I325" s="13"/>
      <c r="J325" s="13"/>
    </row>
    <row r="326" customFormat="false" ht="15" hidden="false" customHeight="false" outlineLevel="0" collapsed="false">
      <c r="A326" s="13"/>
      <c r="B326" s="13"/>
      <c r="C326" s="13"/>
      <c r="D326" s="13"/>
      <c r="E326" s="13"/>
      <c r="F326" s="14"/>
      <c r="G326" s="13"/>
      <c r="H326" s="13"/>
      <c r="I326" s="13"/>
      <c r="J326" s="13"/>
    </row>
    <row r="327" customFormat="false" ht="15" hidden="false" customHeight="false" outlineLevel="0" collapsed="false">
      <c r="A327" s="13"/>
      <c r="B327" s="13"/>
      <c r="C327" s="13"/>
      <c r="D327" s="13"/>
      <c r="E327" s="13"/>
      <c r="F327" s="14"/>
      <c r="G327" s="13"/>
      <c r="H327" s="13"/>
      <c r="I327" s="13"/>
      <c r="J327" s="13"/>
    </row>
    <row r="328" customFormat="false" ht="15" hidden="false" customHeight="false" outlineLevel="0" collapsed="false">
      <c r="A328" s="13"/>
      <c r="B328" s="13"/>
      <c r="C328" s="13"/>
      <c r="D328" s="13"/>
      <c r="E328" s="13"/>
      <c r="F328" s="14"/>
      <c r="G328" s="13"/>
      <c r="H328" s="13"/>
      <c r="I328" s="13"/>
      <c r="J328" s="13"/>
    </row>
    <row r="329" customFormat="false" ht="15" hidden="false" customHeight="false" outlineLevel="0" collapsed="false">
      <c r="A329" s="13"/>
      <c r="B329" s="13"/>
      <c r="C329" s="13"/>
      <c r="D329" s="13"/>
      <c r="E329" s="13"/>
      <c r="F329" s="14"/>
      <c r="G329" s="13"/>
      <c r="H329" s="13"/>
      <c r="I329" s="13"/>
      <c r="J329" s="13"/>
    </row>
    <row r="330" customFormat="false" ht="15" hidden="false" customHeight="false" outlineLevel="0" collapsed="false">
      <c r="A330" s="13"/>
      <c r="B330" s="13"/>
      <c r="C330" s="13"/>
      <c r="D330" s="13"/>
      <c r="E330" s="13"/>
      <c r="F330" s="14"/>
      <c r="G330" s="13"/>
      <c r="H330" s="13"/>
      <c r="I330" s="13"/>
      <c r="J330" s="13"/>
    </row>
    <row r="331" customFormat="false" ht="15" hidden="false" customHeight="false" outlineLevel="0" collapsed="false">
      <c r="A331" s="13"/>
      <c r="B331" s="13"/>
      <c r="C331" s="13"/>
      <c r="D331" s="13"/>
      <c r="E331" s="13"/>
      <c r="F331" s="14"/>
      <c r="G331" s="13"/>
      <c r="H331" s="13"/>
      <c r="I331" s="13"/>
      <c r="J331" s="13"/>
    </row>
    <row r="332" customFormat="false" ht="15" hidden="false" customHeight="false" outlineLevel="0" collapsed="false">
      <c r="A332" s="13"/>
      <c r="B332" s="13"/>
      <c r="C332" s="13"/>
      <c r="D332" s="13"/>
      <c r="E332" s="13"/>
      <c r="F332" s="14"/>
      <c r="G332" s="13"/>
      <c r="H332" s="13"/>
      <c r="I332" s="13"/>
      <c r="J332" s="13"/>
    </row>
    <row r="333" customFormat="false" ht="15" hidden="false" customHeight="false" outlineLevel="0" collapsed="false">
      <c r="A333" s="13"/>
      <c r="B333" s="13"/>
      <c r="C333" s="13"/>
      <c r="D333" s="13"/>
      <c r="E333" s="13"/>
      <c r="F333" s="14"/>
      <c r="G333" s="13"/>
      <c r="H333" s="13"/>
      <c r="I333" s="13"/>
      <c r="J333" s="13"/>
    </row>
    <row r="334" customFormat="false" ht="15" hidden="false" customHeight="false" outlineLevel="0" collapsed="false">
      <c r="A334" s="13"/>
      <c r="B334" s="13"/>
      <c r="C334" s="13"/>
      <c r="D334" s="13"/>
      <c r="E334" s="13"/>
      <c r="F334" s="14"/>
      <c r="G334" s="13"/>
      <c r="H334" s="13"/>
      <c r="I334" s="13"/>
      <c r="J334" s="13"/>
    </row>
    <row r="335" customFormat="false" ht="15" hidden="false" customHeight="false" outlineLevel="0" collapsed="false">
      <c r="A335" s="13"/>
      <c r="B335" s="13"/>
      <c r="C335" s="13"/>
      <c r="D335" s="13"/>
      <c r="E335" s="13"/>
      <c r="F335" s="14"/>
      <c r="G335" s="13"/>
      <c r="H335" s="13"/>
      <c r="I335" s="13"/>
      <c r="J335" s="13"/>
    </row>
    <row r="336" customFormat="false" ht="15" hidden="false" customHeight="false" outlineLevel="0" collapsed="false">
      <c r="A336" s="13"/>
      <c r="B336" s="13"/>
      <c r="C336" s="13"/>
      <c r="D336" s="13"/>
      <c r="E336" s="13"/>
      <c r="F336" s="14"/>
      <c r="G336" s="13"/>
      <c r="H336" s="13"/>
      <c r="I336" s="13"/>
      <c r="J336" s="13"/>
    </row>
    <row r="337" customFormat="false" ht="15" hidden="false" customHeight="false" outlineLevel="0" collapsed="false">
      <c r="A337" s="13"/>
      <c r="B337" s="13"/>
      <c r="C337" s="13"/>
      <c r="D337" s="13"/>
      <c r="E337" s="13"/>
      <c r="F337" s="14"/>
      <c r="G337" s="13"/>
      <c r="H337" s="13"/>
      <c r="I337" s="13"/>
      <c r="J337" s="13"/>
    </row>
    <row r="338" customFormat="false" ht="15" hidden="false" customHeight="false" outlineLevel="0" collapsed="false">
      <c r="A338" s="13"/>
      <c r="B338" s="13"/>
      <c r="C338" s="13"/>
      <c r="D338" s="13"/>
      <c r="E338" s="13"/>
      <c r="F338" s="14"/>
      <c r="G338" s="13"/>
      <c r="H338" s="13"/>
      <c r="I338" s="13"/>
      <c r="J338" s="13"/>
    </row>
    <row r="339" customFormat="false" ht="15" hidden="false" customHeight="false" outlineLevel="0" collapsed="false">
      <c r="A339" s="13"/>
      <c r="B339" s="13"/>
      <c r="C339" s="13"/>
      <c r="D339" s="13"/>
      <c r="E339" s="13"/>
      <c r="F339" s="14"/>
      <c r="G339" s="13"/>
      <c r="H339" s="13"/>
      <c r="I339" s="13"/>
      <c r="J339" s="13"/>
    </row>
    <row r="340" customFormat="false" ht="15" hidden="false" customHeight="false" outlineLevel="0" collapsed="false">
      <c r="A340" s="13"/>
      <c r="B340" s="13"/>
      <c r="C340" s="13"/>
      <c r="D340" s="13"/>
      <c r="E340" s="13"/>
      <c r="F340" s="14"/>
      <c r="G340" s="13"/>
      <c r="H340" s="13"/>
      <c r="I340" s="13"/>
      <c r="J340" s="13"/>
    </row>
    <row r="341" customFormat="false" ht="15" hidden="false" customHeight="false" outlineLevel="0" collapsed="false">
      <c r="A341" s="13"/>
      <c r="B341" s="13"/>
      <c r="C341" s="13"/>
      <c r="D341" s="13"/>
      <c r="E341" s="13"/>
      <c r="F341" s="14"/>
      <c r="G341" s="13"/>
      <c r="H341" s="13"/>
      <c r="I341" s="13"/>
      <c r="J341" s="13"/>
    </row>
    <row r="342" customFormat="false" ht="15" hidden="false" customHeight="false" outlineLevel="0" collapsed="false">
      <c r="A342" s="13"/>
      <c r="B342" s="13"/>
      <c r="C342" s="13"/>
      <c r="D342" s="13"/>
      <c r="E342" s="13"/>
      <c r="F342" s="14"/>
      <c r="G342" s="13"/>
      <c r="H342" s="13"/>
      <c r="I342" s="13"/>
      <c r="J342" s="13"/>
    </row>
    <row r="343" customFormat="false" ht="15" hidden="false" customHeight="false" outlineLevel="0" collapsed="false">
      <c r="A343" s="13"/>
      <c r="B343" s="13"/>
      <c r="C343" s="13"/>
      <c r="D343" s="13"/>
      <c r="E343" s="13"/>
      <c r="F343" s="14"/>
      <c r="G343" s="13"/>
      <c r="H343" s="13"/>
      <c r="I343" s="13"/>
      <c r="J343" s="13"/>
    </row>
    <row r="344" customFormat="false" ht="15" hidden="false" customHeight="false" outlineLevel="0" collapsed="false">
      <c r="A344" s="13"/>
      <c r="B344" s="13"/>
      <c r="C344" s="13"/>
      <c r="D344" s="13"/>
      <c r="E344" s="13"/>
      <c r="F344" s="14"/>
      <c r="G344" s="13"/>
      <c r="H344" s="13"/>
      <c r="I344" s="13"/>
      <c r="J344" s="13"/>
    </row>
    <row r="345" customFormat="false" ht="15" hidden="false" customHeight="false" outlineLevel="0" collapsed="false">
      <c r="A345" s="13"/>
      <c r="B345" s="13"/>
      <c r="C345" s="13"/>
      <c r="D345" s="13"/>
      <c r="E345" s="13"/>
      <c r="F345" s="14"/>
      <c r="G345" s="13"/>
      <c r="H345" s="13"/>
      <c r="I345" s="13"/>
      <c r="J345" s="13"/>
    </row>
    <row r="346" customFormat="false" ht="15" hidden="false" customHeight="false" outlineLevel="0" collapsed="false">
      <c r="A346" s="13"/>
      <c r="B346" s="13"/>
      <c r="C346" s="13"/>
      <c r="D346" s="13"/>
      <c r="E346" s="13"/>
      <c r="F346" s="14"/>
      <c r="G346" s="13"/>
      <c r="H346" s="13"/>
      <c r="I346" s="13"/>
      <c r="J346" s="13"/>
    </row>
    <row r="347" customFormat="false" ht="15" hidden="false" customHeight="false" outlineLevel="0" collapsed="false">
      <c r="A347" s="13"/>
      <c r="B347" s="13"/>
      <c r="C347" s="13"/>
      <c r="D347" s="13"/>
      <c r="E347" s="13"/>
      <c r="F347" s="14"/>
      <c r="G347" s="13"/>
      <c r="H347" s="13"/>
      <c r="I347" s="13"/>
      <c r="J347" s="13"/>
    </row>
    <row r="348" customFormat="false" ht="15" hidden="false" customHeight="false" outlineLevel="0" collapsed="false">
      <c r="A348" s="13"/>
      <c r="B348" s="13"/>
      <c r="C348" s="13"/>
      <c r="D348" s="13"/>
      <c r="E348" s="13"/>
      <c r="F348" s="14"/>
      <c r="G348" s="13"/>
      <c r="H348" s="13"/>
      <c r="I348" s="13"/>
      <c r="J348" s="13"/>
    </row>
    <row r="349" customFormat="false" ht="15" hidden="false" customHeight="false" outlineLevel="0" collapsed="false">
      <c r="A349" s="13"/>
      <c r="B349" s="13"/>
      <c r="C349" s="13"/>
      <c r="D349" s="13"/>
      <c r="E349" s="13"/>
      <c r="F349" s="14"/>
      <c r="G349" s="13"/>
      <c r="H349" s="13"/>
      <c r="I349" s="13"/>
      <c r="J349" s="13"/>
    </row>
    <row r="350" customFormat="false" ht="15" hidden="false" customHeight="false" outlineLevel="0" collapsed="false">
      <c r="A350" s="13"/>
      <c r="B350" s="13"/>
      <c r="C350" s="13"/>
      <c r="D350" s="13"/>
      <c r="E350" s="13"/>
      <c r="F350" s="14"/>
      <c r="G350" s="13"/>
      <c r="H350" s="13"/>
      <c r="I350" s="13"/>
      <c r="J350" s="13"/>
    </row>
    <row r="351" customFormat="false" ht="15" hidden="false" customHeight="false" outlineLevel="0" collapsed="false">
      <c r="A351" s="13"/>
      <c r="B351" s="13"/>
      <c r="C351" s="13"/>
      <c r="D351" s="13"/>
      <c r="E351" s="13"/>
      <c r="F351" s="14"/>
      <c r="G351" s="13"/>
      <c r="H351" s="13"/>
      <c r="I351" s="13"/>
      <c r="J351" s="13"/>
    </row>
    <row r="352" customFormat="false" ht="15" hidden="false" customHeight="false" outlineLevel="0" collapsed="false">
      <c r="A352" s="13"/>
      <c r="B352" s="13"/>
      <c r="C352" s="13"/>
      <c r="D352" s="13"/>
      <c r="E352" s="13"/>
      <c r="F352" s="14"/>
      <c r="G352" s="13"/>
      <c r="H352" s="13"/>
      <c r="I352" s="13"/>
      <c r="J352" s="13"/>
    </row>
    <row r="353" customFormat="false" ht="15" hidden="false" customHeight="false" outlineLevel="0" collapsed="false">
      <c r="A353" s="13"/>
      <c r="B353" s="13"/>
      <c r="C353" s="13"/>
      <c r="D353" s="13"/>
      <c r="E353" s="13"/>
      <c r="F353" s="14"/>
      <c r="G353" s="13"/>
      <c r="H353" s="13"/>
      <c r="I353" s="13"/>
      <c r="J353" s="13"/>
    </row>
    <row r="354" customFormat="false" ht="15" hidden="false" customHeight="false" outlineLevel="0" collapsed="false">
      <c r="A354" s="13"/>
      <c r="B354" s="13"/>
      <c r="C354" s="13"/>
      <c r="D354" s="13"/>
      <c r="E354" s="13"/>
      <c r="F354" s="14"/>
      <c r="G354" s="13"/>
      <c r="H354" s="13"/>
      <c r="I354" s="13"/>
      <c r="J354" s="13"/>
    </row>
    <row r="355" customFormat="false" ht="15" hidden="false" customHeight="false" outlineLevel="0" collapsed="false">
      <c r="A355" s="13"/>
      <c r="B355" s="13"/>
      <c r="C355" s="13"/>
      <c r="D355" s="13"/>
      <c r="E355" s="13"/>
      <c r="F355" s="14"/>
      <c r="G355" s="13"/>
      <c r="H355" s="13"/>
      <c r="I355" s="13"/>
      <c r="J355" s="13"/>
    </row>
    <row r="356" customFormat="false" ht="15" hidden="false" customHeight="false" outlineLevel="0" collapsed="false">
      <c r="A356" s="13"/>
      <c r="B356" s="13"/>
      <c r="C356" s="13"/>
      <c r="D356" s="13"/>
      <c r="E356" s="13"/>
      <c r="F356" s="14"/>
      <c r="G356" s="13"/>
      <c r="H356" s="13"/>
      <c r="I356" s="13"/>
      <c r="J356" s="13"/>
    </row>
    <row r="357" customFormat="false" ht="15" hidden="false" customHeight="false" outlineLevel="0" collapsed="false">
      <c r="A357" s="13"/>
      <c r="B357" s="13"/>
      <c r="C357" s="13"/>
      <c r="D357" s="13"/>
      <c r="E357" s="13"/>
      <c r="F357" s="14"/>
      <c r="G357" s="13"/>
      <c r="H357" s="13"/>
      <c r="I357" s="13"/>
      <c r="J357" s="13"/>
    </row>
    <row r="358" customFormat="false" ht="15" hidden="false" customHeight="false" outlineLevel="0" collapsed="false">
      <c r="A358" s="13"/>
      <c r="B358" s="13"/>
      <c r="C358" s="13"/>
      <c r="D358" s="13"/>
      <c r="E358" s="13"/>
      <c r="F358" s="14"/>
      <c r="G358" s="13"/>
      <c r="H358" s="13"/>
      <c r="I358" s="13"/>
      <c r="J358" s="13"/>
    </row>
    <row r="359" customFormat="false" ht="15" hidden="false" customHeight="false" outlineLevel="0" collapsed="false">
      <c r="A359" s="13"/>
      <c r="B359" s="13"/>
      <c r="C359" s="13"/>
      <c r="D359" s="13"/>
      <c r="E359" s="13"/>
      <c r="F359" s="14"/>
      <c r="G359" s="13"/>
      <c r="H359" s="13"/>
      <c r="I359" s="13"/>
      <c r="J359" s="13"/>
    </row>
    <row r="360" customFormat="false" ht="15" hidden="false" customHeight="false" outlineLevel="0" collapsed="false">
      <c r="A360" s="13"/>
      <c r="B360" s="13"/>
      <c r="C360" s="13"/>
      <c r="D360" s="13"/>
      <c r="E360" s="13"/>
      <c r="F360" s="14"/>
      <c r="G360" s="13"/>
      <c r="H360" s="13"/>
      <c r="I360" s="13"/>
      <c r="J360" s="13"/>
    </row>
    <row r="361" customFormat="false" ht="15" hidden="false" customHeight="false" outlineLevel="0" collapsed="false">
      <c r="A361" s="13"/>
      <c r="B361" s="13"/>
      <c r="C361" s="13"/>
      <c r="D361" s="13"/>
      <c r="E361" s="13"/>
      <c r="F361" s="14"/>
      <c r="G361" s="13"/>
      <c r="H361" s="13"/>
      <c r="I361" s="13"/>
      <c r="J361" s="13"/>
    </row>
    <row r="362" customFormat="false" ht="15" hidden="false" customHeight="false" outlineLevel="0" collapsed="false">
      <c r="A362" s="13"/>
      <c r="B362" s="13"/>
      <c r="C362" s="13"/>
      <c r="D362" s="13"/>
      <c r="E362" s="13"/>
      <c r="F362" s="14"/>
      <c r="G362" s="13"/>
      <c r="H362" s="13"/>
      <c r="I362" s="13"/>
      <c r="J362" s="13"/>
    </row>
    <row r="363" customFormat="false" ht="15" hidden="false" customHeight="false" outlineLevel="0" collapsed="false">
      <c r="A363" s="13"/>
      <c r="B363" s="13"/>
      <c r="C363" s="13"/>
      <c r="D363" s="13"/>
      <c r="E363" s="13"/>
      <c r="F363" s="14"/>
      <c r="G363" s="13"/>
      <c r="H363" s="13"/>
      <c r="I363" s="13"/>
      <c r="J363" s="13"/>
    </row>
    <row r="364" customFormat="false" ht="15" hidden="false" customHeight="false" outlineLevel="0" collapsed="false">
      <c r="A364" s="13"/>
      <c r="B364" s="13"/>
      <c r="C364" s="13"/>
      <c r="D364" s="13"/>
      <c r="E364" s="13"/>
      <c r="F364" s="14"/>
      <c r="G364" s="13"/>
      <c r="H364" s="13"/>
      <c r="I364" s="13"/>
      <c r="J364" s="13"/>
    </row>
    <row r="365" customFormat="false" ht="15" hidden="false" customHeight="false" outlineLevel="0" collapsed="false">
      <c r="A365" s="13"/>
      <c r="B365" s="13"/>
      <c r="C365" s="13"/>
      <c r="D365" s="13"/>
      <c r="E365" s="13"/>
      <c r="F365" s="14"/>
      <c r="G365" s="13"/>
      <c r="H365" s="13"/>
      <c r="I365" s="13"/>
      <c r="J365" s="13"/>
    </row>
    <row r="366" customFormat="false" ht="15" hidden="false" customHeight="false" outlineLevel="0" collapsed="false">
      <c r="A366" s="13"/>
      <c r="B366" s="13"/>
      <c r="C366" s="13"/>
      <c r="D366" s="13"/>
      <c r="E366" s="13"/>
      <c r="F366" s="14"/>
      <c r="G366" s="13"/>
      <c r="H366" s="13"/>
      <c r="I366" s="13"/>
      <c r="J366" s="13"/>
    </row>
    <row r="367" customFormat="false" ht="15" hidden="false" customHeight="false" outlineLevel="0" collapsed="false">
      <c r="A367" s="13"/>
      <c r="B367" s="13"/>
      <c r="C367" s="13"/>
      <c r="D367" s="13"/>
      <c r="E367" s="13"/>
      <c r="F367" s="14"/>
      <c r="G367" s="13"/>
      <c r="H367" s="13"/>
      <c r="I367" s="13"/>
      <c r="J367" s="13"/>
    </row>
    <row r="368" customFormat="false" ht="15" hidden="false" customHeight="false" outlineLevel="0" collapsed="false">
      <c r="A368" s="13"/>
      <c r="B368" s="13"/>
      <c r="C368" s="13"/>
      <c r="D368" s="13"/>
      <c r="E368" s="13"/>
      <c r="F368" s="14"/>
      <c r="G368" s="13"/>
      <c r="H368" s="13"/>
      <c r="I368" s="13"/>
      <c r="J368" s="13"/>
    </row>
    <row r="369" customFormat="false" ht="15" hidden="false" customHeight="false" outlineLevel="0" collapsed="false">
      <c r="A369" s="13"/>
      <c r="B369" s="13"/>
      <c r="C369" s="13"/>
      <c r="D369" s="13"/>
      <c r="E369" s="13"/>
      <c r="F369" s="14"/>
      <c r="G369" s="13"/>
      <c r="H369" s="13"/>
      <c r="I369" s="13"/>
      <c r="J369" s="13"/>
    </row>
    <row r="370" customFormat="false" ht="15" hidden="false" customHeight="false" outlineLevel="0" collapsed="false">
      <c r="A370" s="13"/>
      <c r="B370" s="13"/>
      <c r="C370" s="13"/>
      <c r="D370" s="13"/>
      <c r="E370" s="13"/>
      <c r="F370" s="14"/>
      <c r="G370" s="13"/>
      <c r="H370" s="13"/>
      <c r="I370" s="13"/>
      <c r="J370" s="13"/>
    </row>
    <row r="371" customFormat="false" ht="15" hidden="false" customHeight="false" outlineLevel="0" collapsed="false">
      <c r="A371" s="13"/>
      <c r="B371" s="13"/>
      <c r="C371" s="13"/>
      <c r="D371" s="13"/>
      <c r="E371" s="13"/>
      <c r="F371" s="14"/>
      <c r="G371" s="13"/>
      <c r="H371" s="13"/>
      <c r="I371" s="13"/>
      <c r="J371" s="13"/>
    </row>
    <row r="372" customFormat="false" ht="15" hidden="false" customHeight="false" outlineLevel="0" collapsed="false">
      <c r="A372" s="13"/>
      <c r="B372" s="13"/>
      <c r="C372" s="13"/>
      <c r="D372" s="13"/>
      <c r="E372" s="13"/>
      <c r="F372" s="14"/>
      <c r="G372" s="13"/>
      <c r="H372" s="13"/>
      <c r="I372" s="13"/>
      <c r="J372" s="13"/>
    </row>
    <row r="373" customFormat="false" ht="15" hidden="false" customHeight="false" outlineLevel="0" collapsed="false">
      <c r="A373" s="13"/>
      <c r="B373" s="13"/>
      <c r="C373" s="13"/>
      <c r="D373" s="13"/>
      <c r="E373" s="13"/>
      <c r="F373" s="14"/>
      <c r="G373" s="13"/>
      <c r="H373" s="13"/>
      <c r="I373" s="13"/>
      <c r="J373" s="13"/>
    </row>
    <row r="374" customFormat="false" ht="15" hidden="false" customHeight="false" outlineLevel="0" collapsed="false">
      <c r="A374" s="13"/>
      <c r="B374" s="13"/>
      <c r="C374" s="13"/>
      <c r="D374" s="13"/>
      <c r="E374" s="13"/>
      <c r="F374" s="14"/>
      <c r="G374" s="13"/>
      <c r="H374" s="13"/>
      <c r="I374" s="13"/>
      <c r="J374" s="13"/>
    </row>
    <row r="375" customFormat="false" ht="15" hidden="false" customHeight="false" outlineLevel="0" collapsed="false">
      <c r="A375" s="13"/>
      <c r="B375" s="13"/>
      <c r="C375" s="13"/>
      <c r="D375" s="13"/>
      <c r="E375" s="13"/>
      <c r="F375" s="14"/>
      <c r="G375" s="13"/>
      <c r="H375" s="13"/>
      <c r="I375" s="13"/>
      <c r="J375" s="13"/>
    </row>
    <row r="376" customFormat="false" ht="15" hidden="false" customHeight="false" outlineLevel="0" collapsed="false">
      <c r="A376" s="13"/>
      <c r="B376" s="13"/>
      <c r="C376" s="13"/>
      <c r="D376" s="13"/>
      <c r="E376" s="13"/>
      <c r="F376" s="14"/>
      <c r="G376" s="13"/>
      <c r="H376" s="13"/>
      <c r="I376" s="13"/>
      <c r="J376" s="13"/>
    </row>
    <row r="377" customFormat="false" ht="15" hidden="false" customHeight="false" outlineLevel="0" collapsed="false">
      <c r="A377" s="13"/>
      <c r="B377" s="13"/>
      <c r="C377" s="13"/>
      <c r="D377" s="13"/>
      <c r="E377" s="13"/>
      <c r="F377" s="14"/>
      <c r="G377" s="13"/>
      <c r="H377" s="13"/>
      <c r="I377" s="13"/>
      <c r="J377" s="13"/>
    </row>
    <row r="378" customFormat="false" ht="15" hidden="false" customHeight="false" outlineLevel="0" collapsed="false">
      <c r="A378" s="13"/>
      <c r="B378" s="13"/>
      <c r="C378" s="13"/>
      <c r="D378" s="13"/>
      <c r="E378" s="13"/>
      <c r="F378" s="14"/>
      <c r="G378" s="13"/>
      <c r="H378" s="13"/>
      <c r="I378" s="13"/>
      <c r="J378" s="13"/>
    </row>
    <row r="379" customFormat="false" ht="15" hidden="false" customHeight="false" outlineLevel="0" collapsed="false">
      <c r="A379" s="13"/>
      <c r="B379" s="13"/>
      <c r="C379" s="13"/>
      <c r="D379" s="13"/>
      <c r="E379" s="13"/>
      <c r="F379" s="14"/>
      <c r="G379" s="13"/>
      <c r="H379" s="13"/>
      <c r="I379" s="13"/>
      <c r="J379" s="13"/>
    </row>
    <row r="380" customFormat="false" ht="15" hidden="false" customHeight="false" outlineLevel="0" collapsed="false">
      <c r="A380" s="13"/>
      <c r="B380" s="13"/>
      <c r="C380" s="13"/>
      <c r="D380" s="13"/>
      <c r="E380" s="13"/>
      <c r="F380" s="14"/>
      <c r="G380" s="13"/>
      <c r="H380" s="13"/>
      <c r="I380" s="13"/>
      <c r="J380" s="13"/>
    </row>
    <row r="381" customFormat="false" ht="15" hidden="false" customHeight="false" outlineLevel="0" collapsed="false">
      <c r="A381" s="13"/>
      <c r="B381" s="13"/>
      <c r="C381" s="13"/>
      <c r="D381" s="13"/>
      <c r="E381" s="13"/>
      <c r="F381" s="14"/>
      <c r="G381" s="13"/>
      <c r="H381" s="13"/>
      <c r="I381" s="13"/>
      <c r="J381" s="13"/>
    </row>
    <row r="382" customFormat="false" ht="15" hidden="false" customHeight="false" outlineLevel="0" collapsed="false">
      <c r="A382" s="13"/>
      <c r="B382" s="13"/>
      <c r="C382" s="13"/>
      <c r="D382" s="13"/>
      <c r="E382" s="13"/>
      <c r="F382" s="14"/>
      <c r="G382" s="13"/>
      <c r="H382" s="13"/>
      <c r="I382" s="13"/>
      <c r="J382" s="13"/>
    </row>
    <row r="383" customFormat="false" ht="15" hidden="false" customHeight="false" outlineLevel="0" collapsed="false">
      <c r="A383" s="13"/>
      <c r="B383" s="13"/>
      <c r="C383" s="13"/>
      <c r="D383" s="13"/>
      <c r="E383" s="13"/>
      <c r="F383" s="14"/>
      <c r="G383" s="13"/>
      <c r="H383" s="13"/>
      <c r="I383" s="13"/>
      <c r="J383" s="13"/>
    </row>
    <row r="384" customFormat="false" ht="15" hidden="false" customHeight="false" outlineLevel="0" collapsed="false">
      <c r="A384" s="13"/>
      <c r="B384" s="13"/>
      <c r="C384" s="13"/>
      <c r="D384" s="13"/>
      <c r="E384" s="13"/>
      <c r="F384" s="14"/>
      <c r="G384" s="13"/>
      <c r="H384" s="13"/>
      <c r="I384" s="13"/>
      <c r="J384" s="13"/>
    </row>
    <row r="385" customFormat="false" ht="15" hidden="false" customHeight="false" outlineLevel="0" collapsed="false">
      <c r="A385" s="13"/>
      <c r="B385" s="13"/>
      <c r="C385" s="13"/>
      <c r="D385" s="13"/>
      <c r="E385" s="13"/>
      <c r="F385" s="14"/>
      <c r="G385" s="13"/>
      <c r="H385" s="13"/>
      <c r="I385" s="13"/>
      <c r="J385" s="13"/>
    </row>
    <row r="386" customFormat="false" ht="15" hidden="false" customHeight="false" outlineLevel="0" collapsed="false">
      <c r="A386" s="13"/>
      <c r="B386" s="13"/>
      <c r="C386" s="13"/>
      <c r="D386" s="13"/>
      <c r="E386" s="13"/>
      <c r="F386" s="14"/>
      <c r="G386" s="13"/>
      <c r="H386" s="13"/>
      <c r="I386" s="13"/>
      <c r="J386" s="13"/>
    </row>
    <row r="387" customFormat="false" ht="15" hidden="false" customHeight="false" outlineLevel="0" collapsed="false">
      <c r="A387" s="13"/>
      <c r="B387" s="13"/>
      <c r="C387" s="13"/>
      <c r="D387" s="13"/>
      <c r="E387" s="13"/>
      <c r="F387" s="14"/>
      <c r="G387" s="13"/>
      <c r="H387" s="13"/>
      <c r="I387" s="13"/>
      <c r="J387" s="13"/>
    </row>
    <row r="388" customFormat="false" ht="15" hidden="false" customHeight="false" outlineLevel="0" collapsed="false">
      <c r="A388" s="13"/>
      <c r="B388" s="13"/>
      <c r="C388" s="13"/>
      <c r="D388" s="13"/>
      <c r="E388" s="13"/>
      <c r="F388" s="14"/>
      <c r="G388" s="13"/>
      <c r="H388" s="13"/>
      <c r="I388" s="13"/>
      <c r="J388" s="13"/>
    </row>
    <row r="389" customFormat="false" ht="15" hidden="false" customHeight="false" outlineLevel="0" collapsed="false">
      <c r="A389" s="13"/>
      <c r="B389" s="13"/>
      <c r="C389" s="13"/>
      <c r="D389" s="13"/>
      <c r="E389" s="13"/>
      <c r="F389" s="14"/>
      <c r="G389" s="13"/>
      <c r="H389" s="13"/>
      <c r="I389" s="13"/>
      <c r="J389" s="13"/>
    </row>
    <row r="390" customFormat="false" ht="15" hidden="false" customHeight="false" outlineLevel="0" collapsed="false">
      <c r="A390" s="13"/>
      <c r="B390" s="13"/>
      <c r="C390" s="13"/>
      <c r="D390" s="13"/>
      <c r="E390" s="13"/>
      <c r="F390" s="14"/>
      <c r="G390" s="13"/>
      <c r="H390" s="13"/>
      <c r="I390" s="13"/>
      <c r="J390" s="13"/>
    </row>
    <row r="391" customFormat="false" ht="15" hidden="false" customHeight="false" outlineLevel="0" collapsed="false">
      <c r="A391" s="13"/>
      <c r="B391" s="13"/>
      <c r="C391" s="13"/>
      <c r="D391" s="13"/>
      <c r="E391" s="13"/>
      <c r="F391" s="14"/>
      <c r="G391" s="13"/>
      <c r="H391" s="13"/>
      <c r="I391" s="13"/>
      <c r="J391" s="13"/>
    </row>
    <row r="392" customFormat="false" ht="15" hidden="false" customHeight="false" outlineLevel="0" collapsed="false">
      <c r="A392" s="13"/>
      <c r="B392" s="13"/>
      <c r="C392" s="13"/>
      <c r="D392" s="13"/>
      <c r="E392" s="13"/>
      <c r="F392" s="14"/>
      <c r="G392" s="13"/>
      <c r="H392" s="13"/>
      <c r="I392" s="13"/>
      <c r="J392" s="13"/>
    </row>
    <row r="393" customFormat="false" ht="15" hidden="false" customHeight="false" outlineLevel="0" collapsed="false">
      <c r="A393" s="13"/>
      <c r="B393" s="13"/>
      <c r="C393" s="13"/>
      <c r="D393" s="13"/>
      <c r="E393" s="13"/>
      <c r="F393" s="14"/>
      <c r="G393" s="13"/>
      <c r="H393" s="13"/>
      <c r="I393" s="13"/>
      <c r="J393" s="13"/>
    </row>
    <row r="394" customFormat="false" ht="15" hidden="false" customHeight="false" outlineLevel="0" collapsed="false">
      <c r="A394" s="13"/>
      <c r="B394" s="13"/>
      <c r="C394" s="13"/>
      <c r="D394" s="13"/>
      <c r="E394" s="13"/>
      <c r="F394" s="14"/>
      <c r="G394" s="13"/>
      <c r="H394" s="13"/>
      <c r="I394" s="13"/>
      <c r="J394" s="13"/>
    </row>
    <row r="395" customFormat="false" ht="15" hidden="false" customHeight="false" outlineLevel="0" collapsed="false">
      <c r="A395" s="13"/>
      <c r="B395" s="13"/>
      <c r="C395" s="13"/>
      <c r="D395" s="13"/>
      <c r="E395" s="13"/>
      <c r="F395" s="14"/>
      <c r="G395" s="13"/>
      <c r="H395" s="13"/>
      <c r="I395" s="13"/>
      <c r="J395" s="13"/>
    </row>
    <row r="396" customFormat="false" ht="15" hidden="false" customHeight="false" outlineLevel="0" collapsed="false">
      <c r="A396" s="13"/>
      <c r="B396" s="13"/>
      <c r="C396" s="13"/>
      <c r="D396" s="13"/>
      <c r="E396" s="13"/>
      <c r="F396" s="14"/>
      <c r="G396" s="13"/>
      <c r="H396" s="13"/>
      <c r="I396" s="13"/>
      <c r="J396" s="13"/>
    </row>
    <row r="397" customFormat="false" ht="15" hidden="false" customHeight="false" outlineLevel="0" collapsed="false">
      <c r="A397" s="13"/>
      <c r="B397" s="13"/>
      <c r="C397" s="13"/>
      <c r="D397" s="13"/>
      <c r="E397" s="13"/>
      <c r="F397" s="14"/>
      <c r="G397" s="13"/>
      <c r="H397" s="13"/>
      <c r="I397" s="13"/>
      <c r="J397" s="13"/>
    </row>
    <row r="398" customFormat="false" ht="15" hidden="false" customHeight="false" outlineLevel="0" collapsed="false">
      <c r="A398" s="13"/>
      <c r="B398" s="13"/>
      <c r="C398" s="13"/>
      <c r="D398" s="13"/>
      <c r="E398" s="13"/>
      <c r="F398" s="14"/>
      <c r="G398" s="13"/>
      <c r="H398" s="13"/>
      <c r="I398" s="13"/>
      <c r="J398" s="13"/>
    </row>
    <row r="399" customFormat="false" ht="15" hidden="false" customHeight="false" outlineLevel="0" collapsed="false">
      <c r="A399" s="13"/>
      <c r="B399" s="13"/>
      <c r="C399" s="13"/>
      <c r="D399" s="13"/>
      <c r="E399" s="13"/>
      <c r="F399" s="14"/>
      <c r="G399" s="13"/>
      <c r="H399" s="13"/>
      <c r="I399" s="13"/>
      <c r="J399" s="13"/>
    </row>
    <row r="400" customFormat="false" ht="15" hidden="false" customHeight="false" outlineLevel="0" collapsed="false">
      <c r="A400" s="13"/>
      <c r="B400" s="13"/>
      <c r="C400" s="13"/>
      <c r="D400" s="13"/>
      <c r="E400" s="13"/>
      <c r="F400" s="14"/>
      <c r="G400" s="13"/>
      <c r="H400" s="13"/>
      <c r="I400" s="13"/>
      <c r="J400" s="13"/>
    </row>
  </sheetData>
  <dataValidations count="4">
    <dataValidation allowBlank="true" error="Pakai kode id dari tab Tema, atau kosongkan." errorStyle="warning" errorTitle="Tema tidak dikenal" operator="between" showDropDown="false" showErrorMessage="true" showInputMessage="false" sqref="A2:A400" type="list">
      <formula1>Tema!$A$2:$A$40</formula1>
      <formula2>0</formula2>
    </dataValidation>
    <dataValidation allowBlank="true" error="Pilih salah satu jenis dari daftar, atau kosongkan." errorStyle="warning" errorTitle="Jenis tidak dikenal" operator="between" showDropDown="false" showErrorMessage="true" showInputMessage="false" sqref="D2:D400" type="list">
      <formula1>"aplikasi,peta,grafik,presentasi,data,dokumen,folder,tautan"</formula1>
      <formula2>0</formula2>
    </dataValidation>
    <dataValidation allowBlank="true" error="Isi ya untuk isi utama tema, atau kosongkan." errorStyle="warning" errorTitle="Isi ya atau tidak" operator="between" showDropDown="false" showErrorMessage="true" showInputMessage="false" sqref="I2:I400" type="list">
      <formula1>"ya,tidak"</formula1>
      <formula2>0</formula2>
    </dataValidation>
    <dataValidation allowBlank="true" error="Isi tidak untuk menyembunyikan, atau kosongkan." errorStyle="warning" errorTitle="Isi ya atau tidak" operator="between" showDropDown="false" showErrorMessage="true" showInputMessage="false" sqref="J2:J400" type="list">
      <formula1>"ya,tidak"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2026-10-31T11:45:52Z</dcterms:created>
  <dc:creator>openpyxl</dc:creator>
  <dc:description/>
  <dc:language>en-US</dc:language>
  <cp:lastModifiedBy/>
  <dcterms:modified xsi:type="dcterms:W3CDTF">2026-10-31T11:45:52Z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